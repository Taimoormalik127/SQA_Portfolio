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QA\GitHub\Git\2. E-Commerce (Proprietry - Live Project)\RTM &amp; Test Metrics\"/>
    </mc:Choice>
  </mc:AlternateContent>
  <xr:revisionPtr revIDLastSave="0" documentId="13_ncr:1_{AF773E06-5C31-4E6D-946A-1BBF54921C4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ummary" sheetId="1" r:id="rId1"/>
    <sheet name="Module-wise Metrics" sheetId="2" r:id="rId2"/>
    <sheet name="Defect Log (Failures)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D16" i="2"/>
  <c r="F16" i="2" s="1"/>
  <c r="C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7" i="1"/>
  <c r="C6" i="1"/>
  <c r="C5" i="1"/>
</calcChain>
</file>

<file path=xl/sharedStrings.xml><?xml version="1.0" encoding="utf-8"?>
<sst xmlns="http://schemas.openxmlformats.org/spreadsheetml/2006/main" count="177" uniqueCount="88">
  <si>
    <t>Sydney Quality Meats — Test Execution Metrics (Admin + User Side)</t>
  </si>
  <si>
    <t>Metric</t>
  </si>
  <si>
    <t>Count</t>
  </si>
  <si>
    <t>Percentage</t>
  </si>
  <si>
    <t>Total Test Cases</t>
  </si>
  <si>
    <t>Pass</t>
  </si>
  <si>
    <t>Fail</t>
  </si>
  <si>
    <t>Pass Rate</t>
  </si>
  <si>
    <t>Panel-wise Breakdown</t>
  </si>
  <si>
    <t>Panel</t>
  </si>
  <si>
    <t>Total</t>
  </si>
  <si>
    <t>Admin Side</t>
  </si>
  <si>
    <t>User Side</t>
  </si>
  <si>
    <t>Priority-wise Breakdown</t>
  </si>
  <si>
    <t>Priority</t>
  </si>
  <si>
    <t>High</t>
  </si>
  <si>
    <t>Medium</t>
  </si>
  <si>
    <t>Low</t>
  </si>
  <si>
    <t>Module</t>
  </si>
  <si>
    <t>Pass %</t>
  </si>
  <si>
    <t>Dashboard</t>
  </si>
  <si>
    <t>Brands-Create Brand</t>
  </si>
  <si>
    <t>Brands-Brands List</t>
  </si>
  <si>
    <t>Brands-Trash List</t>
  </si>
  <si>
    <t>Products-Product type</t>
  </si>
  <si>
    <t>Product-Product Create</t>
  </si>
  <si>
    <t>Categories-Main Categories</t>
  </si>
  <si>
    <t>Home Page</t>
  </si>
  <si>
    <t>Login</t>
  </si>
  <si>
    <t>Signup</t>
  </si>
  <si>
    <t>Contact Page</t>
  </si>
  <si>
    <t>Shop Page</t>
  </si>
  <si>
    <t>Cart</t>
  </si>
  <si>
    <t>Checkout</t>
  </si>
  <si>
    <t>TOTAL</t>
  </si>
  <si>
    <t>Test Case ID</t>
  </si>
  <si>
    <t>Test Scenario</t>
  </si>
  <si>
    <t>Expected Result</t>
  </si>
  <si>
    <t>Actual Result</t>
  </si>
  <si>
    <t>TC-29</t>
  </si>
  <si>
    <t>Verify checkbox in insert link funtionality works as intended</t>
  </si>
  <si>
    <t>Link should not open in new window after it is clicked</t>
  </si>
  <si>
    <t>Not As Expected</t>
  </si>
  <si>
    <t>TC-30</t>
  </si>
  <si>
    <t>Verify fullscreen funtionality works as intended</t>
  </si>
  <si>
    <t>Description box opens in fullscreen</t>
  </si>
  <si>
    <t>TC-005</t>
  </si>
  <si>
    <t>Verify phone number is visible in mobile view</t>
  </si>
  <si>
    <t>Phone number should be present</t>
  </si>
  <si>
    <t>Not as Expected</t>
  </si>
  <si>
    <t>TC-044</t>
  </si>
  <si>
    <t>Verify “Return to top” button appears on scroll</t>
  </si>
  <si>
    <t>Return to top' button should be present</t>
  </si>
  <si>
    <t>TC-045</t>
  </si>
  <si>
    <t>Verify “Return to top” moves to top when clicked</t>
  </si>
  <si>
    <t>Page should scroll to top</t>
  </si>
  <si>
    <t>TC-006</t>
  </si>
  <si>
    <t>Signup with email without full stop sign before the word 'com'.</t>
  </si>
  <si>
    <t>Error Shown and signup fails</t>
  </si>
  <si>
    <t>Not as expected</t>
  </si>
  <si>
    <t>TC-008</t>
  </si>
  <si>
    <t>Signup with password that doesn't follow requirements.</t>
  </si>
  <si>
    <t>TC-011</t>
  </si>
  <si>
    <t>Signup with adding invalid data in optional business details section</t>
  </si>
  <si>
    <t>Not As expected</t>
  </si>
  <si>
    <t>SH-20</t>
  </si>
  <si>
    <t>Click product image</t>
  </si>
  <si>
    <t>Redirect to product details page</t>
  </si>
  <si>
    <t>TC-03</t>
  </si>
  <si>
    <t>Place order with valid data</t>
  </si>
  <si>
    <t>Order should get placed successfully</t>
  </si>
  <si>
    <t>TC-06</t>
  </si>
  <si>
    <t>Verify phone number validation</t>
  </si>
  <si>
    <t>Error should show for wrong number format</t>
  </si>
  <si>
    <t>TC-12</t>
  </si>
  <si>
    <t>Verify Phone number length validation</t>
  </si>
  <si>
    <t>Error should show for shorter phone number length</t>
  </si>
  <si>
    <t>TC-13</t>
  </si>
  <si>
    <t>Enter Special characters in name field</t>
  </si>
  <si>
    <t>Validation error should appear stating name field can only have alphabets</t>
  </si>
  <si>
    <t>TC-14</t>
  </si>
  <si>
    <t>Enter Numeric characters in name field</t>
  </si>
  <si>
    <t>TC-15</t>
  </si>
  <si>
    <t>Verify item can be removed or their quantity can be changed from checkout page</t>
  </si>
  <si>
    <t>User should be able to remove items or change their values from checkout page</t>
  </si>
  <si>
    <t>TC-17</t>
  </si>
  <si>
    <t>Verify input field highlights after trying to process with incorrect data</t>
  </si>
  <si>
    <t>Field should get highlighted for user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</si>
</sst>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2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Test Case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95-4DBC-92BF-12AFE8FC39C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95-4DBC-92BF-12AFE8FC39C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B95-4DBC-92BF-12AFE8FC39C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B95-4DBC-92BF-12AFE8FC3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Summary!$B$5:$B$6</c:f>
              <c:numCache>
                <c:formatCode>General</c:formatCode>
                <c:ptCount val="2"/>
                <c:pt idx="0">
                  <c:v>222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95-4DBC-92BF-12AFE8FC3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Panel-wise Test Case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Admin Side</c:v>
                </c:pt>
                <c:pt idx="1">
                  <c:v>User Side</c:v>
                </c:pt>
              </c:strCache>
            </c:strRef>
          </c:cat>
          <c:val>
            <c:numRef>
              <c:f>Summary!$C$11:$C$12</c:f>
              <c:numCache>
                <c:formatCode>General</c:formatCode>
                <c:ptCount val="2"/>
                <c:pt idx="0">
                  <c:v>83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2-4B65-A74E-E14E789006D1}"/>
            </c:ext>
          </c:extLst>
        </c:ser>
        <c:ser>
          <c:idx val="1"/>
          <c:order val="1"/>
          <c:tx>
            <c:strRef>
              <c:f>Summary!$D$10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Admin Side</c:v>
                </c:pt>
                <c:pt idx="1">
                  <c:v>User Side</c:v>
                </c:pt>
              </c:strCache>
            </c:strRef>
          </c:cat>
          <c:val>
            <c:numRef>
              <c:f>Summary!$D$11:$D$12</c:f>
              <c:numCache>
                <c:formatCode>General</c:formatCode>
                <c:ptCount val="2"/>
                <c:pt idx="0">
                  <c:v>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2-4B65-A74E-E14E7890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34658"/>
        <c:axId val="55130435"/>
      </c:barChart>
      <c:catAx>
        <c:axId val="26934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30435"/>
        <c:crosses val="autoZero"/>
        <c:auto val="1"/>
        <c:lblAlgn val="ctr"/>
        <c:lblOffset val="100"/>
        <c:noMultiLvlLbl val="0"/>
      </c:catAx>
      <c:valAx>
        <c:axId val="55130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34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Test Cases by Priority (Pass vs Fail)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Summary!$C$16:$C$18</c:f>
              <c:numCache>
                <c:formatCode>General</c:formatCode>
                <c:ptCount val="3"/>
                <c:pt idx="0">
                  <c:v>107</c:v>
                </c:pt>
                <c:pt idx="1">
                  <c:v>78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B-4F02-B4CC-DD566AA40156}"/>
            </c:ext>
          </c:extLst>
        </c:ser>
        <c:ser>
          <c:idx val="1"/>
          <c:order val="1"/>
          <c:tx>
            <c:strRef>
              <c:f>Summary!$D$15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Summary!$D$16:$D$18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B-4F02-B4CC-DD566AA40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1451"/>
        <c:axId val="25105528"/>
      </c:barChart>
      <c:catAx>
        <c:axId val="1771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05528"/>
        <c:crosses val="autoZero"/>
        <c:auto val="1"/>
        <c:lblAlgn val="ctr"/>
        <c:lblOffset val="100"/>
        <c:noMultiLvlLbl val="0"/>
      </c:catAx>
      <c:valAx>
        <c:axId val="2510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14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Module-wise Test Case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'Module-wise Metrics'!$D$1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'Module-wise Metrics'!$B$2:$B$15</c:f>
              <c:strCache>
                <c:ptCount val="14"/>
                <c:pt idx="0">
                  <c:v>Dashboard</c:v>
                </c:pt>
                <c:pt idx="1">
                  <c:v>Brands-Create Brand</c:v>
                </c:pt>
                <c:pt idx="2">
                  <c:v>Brands-Brands List</c:v>
                </c:pt>
                <c:pt idx="3">
                  <c:v>Brands-Trash List</c:v>
                </c:pt>
                <c:pt idx="4">
                  <c:v>Products-Product type</c:v>
                </c:pt>
                <c:pt idx="5">
                  <c:v>Product-Product Create</c:v>
                </c:pt>
                <c:pt idx="6">
                  <c:v>Categories-Main Categories</c:v>
                </c:pt>
                <c:pt idx="7">
                  <c:v>Home Page</c:v>
                </c:pt>
                <c:pt idx="8">
                  <c:v>Login</c:v>
                </c:pt>
                <c:pt idx="9">
                  <c:v>Signup</c:v>
                </c:pt>
                <c:pt idx="10">
                  <c:v>Contact Page</c:v>
                </c:pt>
                <c:pt idx="11">
                  <c:v>Shop Page</c:v>
                </c:pt>
                <c:pt idx="12">
                  <c:v>Cart</c:v>
                </c:pt>
                <c:pt idx="13">
                  <c:v>Checkout</c:v>
                </c:pt>
              </c:strCache>
            </c:strRef>
          </c:cat>
          <c:val>
            <c:numRef>
              <c:f>'Module-wise Metrics'!$D$2:$D$15</c:f>
              <c:numCache>
                <c:formatCode>General</c:formatCode>
                <c:ptCount val="14"/>
                <c:pt idx="0">
                  <c:v>18</c:v>
                </c:pt>
                <c:pt idx="1">
                  <c:v>32</c:v>
                </c:pt>
                <c:pt idx="2">
                  <c:v>10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  <c:pt idx="7">
                  <c:v>57</c:v>
                </c:pt>
                <c:pt idx="8">
                  <c:v>7</c:v>
                </c:pt>
                <c:pt idx="9">
                  <c:v>8</c:v>
                </c:pt>
                <c:pt idx="10">
                  <c:v>16</c:v>
                </c:pt>
                <c:pt idx="11">
                  <c:v>32</c:v>
                </c:pt>
                <c:pt idx="12">
                  <c:v>8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41EC-A494-59C053260E40}"/>
            </c:ext>
          </c:extLst>
        </c:ser>
        <c:ser>
          <c:idx val="1"/>
          <c:order val="1"/>
          <c:tx>
            <c:strRef>
              <c:f>'Module-wise Metrics'!$E$1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'Module-wise Metrics'!$B$2:$B$15</c:f>
              <c:strCache>
                <c:ptCount val="14"/>
                <c:pt idx="0">
                  <c:v>Dashboard</c:v>
                </c:pt>
                <c:pt idx="1">
                  <c:v>Brands-Create Brand</c:v>
                </c:pt>
                <c:pt idx="2">
                  <c:v>Brands-Brands List</c:v>
                </c:pt>
                <c:pt idx="3">
                  <c:v>Brands-Trash List</c:v>
                </c:pt>
                <c:pt idx="4">
                  <c:v>Products-Product type</c:v>
                </c:pt>
                <c:pt idx="5">
                  <c:v>Product-Product Create</c:v>
                </c:pt>
                <c:pt idx="6">
                  <c:v>Categories-Main Categories</c:v>
                </c:pt>
                <c:pt idx="7">
                  <c:v>Home Page</c:v>
                </c:pt>
                <c:pt idx="8">
                  <c:v>Login</c:v>
                </c:pt>
                <c:pt idx="9">
                  <c:v>Signup</c:v>
                </c:pt>
                <c:pt idx="10">
                  <c:v>Contact Page</c:v>
                </c:pt>
                <c:pt idx="11">
                  <c:v>Shop Page</c:v>
                </c:pt>
                <c:pt idx="12">
                  <c:v>Cart</c:v>
                </c:pt>
                <c:pt idx="13">
                  <c:v>Checkout</c:v>
                </c:pt>
              </c:strCache>
            </c:strRef>
          </c:cat>
          <c:val>
            <c:numRef>
              <c:f>'Module-wise Metrics'!$E$2:$E$15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3-41EC-A494-59C05326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65990"/>
        <c:axId val="56411188"/>
      </c:barChart>
      <c:catAx>
        <c:axId val="66365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11188"/>
        <c:crosses val="autoZero"/>
        <c:auto val="1"/>
        <c:lblAlgn val="ctr"/>
        <c:lblOffset val="100"/>
        <c:noMultiLvlLbl val="0"/>
      </c:catAx>
      <c:valAx>
        <c:axId val="56411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65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236220</xdr:colOff>
      <xdr:row>0</xdr:row>
      <xdr:rowOff>122460</xdr:rowOff>
    </xdr:from>
    <xdr:to>
      <xdr:col>11</xdr:col>
      <xdr:colOff>275100</xdr:colOff>
      <xdr:row>14</xdr:row>
      <xdr:rowOff>75960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68580</xdr:colOff>
      <xdr:row>14</xdr:row>
      <xdr:rowOff>160560</xdr:rowOff>
    </xdr:from>
    <xdr:to>
      <xdr:col>15</xdr:col>
      <xdr:colOff>107460</xdr:colOff>
      <xdr:row>29</xdr:row>
      <xdr:rowOff>114240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396240</xdr:colOff>
      <xdr:row>0</xdr:row>
      <xdr:rowOff>130080</xdr:rowOff>
    </xdr:from>
    <xdr:to>
      <xdr:col>19</xdr:col>
      <xdr:colOff>543840</xdr:colOff>
      <xdr:row>14</xdr:row>
      <xdr:rowOff>45540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21</xdr:col>
      <xdr:colOff>78840</xdr:colOff>
      <xdr:row>23</xdr:row>
      <xdr:rowOff>128880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E21" sqref="E21"/>
    </sheetView>
  </sheetViews>
  <sheetFormatPr defaultColWidth="8.6640625" defaultRowHeight="14.4" x14ac:dyDescent="0.3"/>
  <cols>
    <col min="1" max="1" width="28" customWidth="1"/>
    <col min="2" max="2" width="12" customWidth="1"/>
    <col min="3" max="3" width="14" customWidth="1"/>
  </cols>
  <sheetData>
    <row r="1" spans="1:4" ht="17.399999999999999" x14ac:dyDescent="0.3">
      <c r="A1" s="1" t="s">
        <v>0</v>
      </c>
      <c r="B1" s="1"/>
      <c r="C1" s="1"/>
    </row>
    <row r="3" spans="1:4" ht="24" customHeight="1" x14ac:dyDescent="0.3">
      <c r="A3" s="2" t="s">
        <v>1</v>
      </c>
      <c r="B3" s="2" t="s">
        <v>2</v>
      </c>
      <c r="C3" s="2" t="s">
        <v>3</v>
      </c>
    </row>
    <row r="4" spans="1:4" x14ac:dyDescent="0.3">
      <c r="A4" s="3" t="s">
        <v>4</v>
      </c>
      <c r="B4" s="3">
        <v>238</v>
      </c>
      <c r="C4" s="4">
        <v>1</v>
      </c>
    </row>
    <row r="5" spans="1:4" x14ac:dyDescent="0.3">
      <c r="A5" s="3" t="s">
        <v>5</v>
      </c>
      <c r="B5" s="3">
        <v>222</v>
      </c>
      <c r="C5" s="4">
        <f>B5/$B$4</f>
        <v>0.9327731092436975</v>
      </c>
    </row>
    <row r="6" spans="1:4" x14ac:dyDescent="0.3">
      <c r="A6" s="3" t="s">
        <v>6</v>
      </c>
      <c r="B6" s="3">
        <v>16</v>
      </c>
      <c r="C6" s="4">
        <f>B6/$B$4</f>
        <v>6.7226890756302518E-2</v>
      </c>
    </row>
    <row r="7" spans="1:4" x14ac:dyDescent="0.3">
      <c r="A7" s="5" t="s">
        <v>7</v>
      </c>
      <c r="B7" s="6">
        <f>IFERROR(B5/B4,0)</f>
        <v>0.9327731092436975</v>
      </c>
    </row>
    <row r="9" spans="1:4" ht="15.6" x14ac:dyDescent="0.3">
      <c r="A9" s="7" t="s">
        <v>8</v>
      </c>
    </row>
    <row r="10" spans="1:4" ht="24" customHeight="1" x14ac:dyDescent="0.3">
      <c r="A10" s="2" t="s">
        <v>9</v>
      </c>
      <c r="B10" s="2" t="s">
        <v>10</v>
      </c>
      <c r="C10" s="2" t="s">
        <v>5</v>
      </c>
      <c r="D10" s="2" t="s">
        <v>6</v>
      </c>
    </row>
    <row r="11" spans="1:4" x14ac:dyDescent="0.3">
      <c r="A11" s="3" t="s">
        <v>11</v>
      </c>
      <c r="B11" s="3">
        <v>85</v>
      </c>
      <c r="C11" s="3">
        <v>83</v>
      </c>
      <c r="D11" s="3">
        <v>2</v>
      </c>
    </row>
    <row r="12" spans="1:4" x14ac:dyDescent="0.3">
      <c r="A12" s="3" t="s">
        <v>12</v>
      </c>
      <c r="B12" s="3">
        <v>153</v>
      </c>
      <c r="C12" s="3">
        <v>139</v>
      </c>
      <c r="D12" s="3">
        <v>14</v>
      </c>
    </row>
    <row r="14" spans="1:4" ht="15.6" x14ac:dyDescent="0.3">
      <c r="A14" s="7" t="s">
        <v>13</v>
      </c>
    </row>
    <row r="15" spans="1:4" ht="24" customHeight="1" x14ac:dyDescent="0.3">
      <c r="A15" s="2" t="s">
        <v>14</v>
      </c>
      <c r="B15" s="2" t="s">
        <v>10</v>
      </c>
      <c r="C15" s="2" t="s">
        <v>5</v>
      </c>
      <c r="D15" s="2" t="s">
        <v>6</v>
      </c>
    </row>
    <row r="16" spans="1:4" x14ac:dyDescent="0.3">
      <c r="A16" s="3" t="s">
        <v>15</v>
      </c>
      <c r="B16" s="3">
        <v>110</v>
      </c>
      <c r="C16" s="3">
        <v>107</v>
      </c>
      <c r="D16" s="3">
        <v>3</v>
      </c>
    </row>
    <row r="17" spans="1:4" x14ac:dyDescent="0.3">
      <c r="A17" s="3" t="s">
        <v>16</v>
      </c>
      <c r="B17" s="3">
        <v>88</v>
      </c>
      <c r="C17" s="3">
        <v>78</v>
      </c>
      <c r="D17" s="3">
        <v>10</v>
      </c>
    </row>
    <row r="18" spans="1:4" x14ac:dyDescent="0.3">
      <c r="A18" s="3" t="s">
        <v>17</v>
      </c>
      <c r="B18" s="3">
        <v>40</v>
      </c>
      <c r="C18" s="3">
        <v>37</v>
      </c>
      <c r="D18" s="3">
        <v>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6" customWidth="1"/>
    <col min="4" max="6" width="10" customWidth="1"/>
  </cols>
  <sheetData>
    <row r="1" spans="1:6" ht="24" customHeight="1" x14ac:dyDescent="0.3">
      <c r="A1" s="2" t="s">
        <v>9</v>
      </c>
      <c r="B1" s="2" t="s">
        <v>18</v>
      </c>
      <c r="C1" s="2" t="s">
        <v>4</v>
      </c>
      <c r="D1" s="2" t="s">
        <v>5</v>
      </c>
      <c r="E1" s="2" t="s">
        <v>6</v>
      </c>
      <c r="F1" s="2" t="s">
        <v>19</v>
      </c>
    </row>
    <row r="2" spans="1:6" x14ac:dyDescent="0.3">
      <c r="A2" s="3" t="s">
        <v>11</v>
      </c>
      <c r="B2" s="3" t="s">
        <v>20</v>
      </c>
      <c r="C2" s="3">
        <v>18</v>
      </c>
      <c r="D2" s="3">
        <v>18</v>
      </c>
      <c r="E2" s="3">
        <v>0</v>
      </c>
      <c r="F2" s="4">
        <f t="shared" ref="F2:F16" si="0">IFERROR(D2/C2,0)</f>
        <v>1</v>
      </c>
    </row>
    <row r="3" spans="1:6" x14ac:dyDescent="0.3">
      <c r="A3" s="3" t="s">
        <v>11</v>
      </c>
      <c r="B3" s="3" t="s">
        <v>21</v>
      </c>
      <c r="C3" s="3">
        <v>34</v>
      </c>
      <c r="D3" s="3">
        <v>32</v>
      </c>
      <c r="E3" s="3">
        <v>2</v>
      </c>
      <c r="F3" s="4">
        <f t="shared" si="0"/>
        <v>0.94117647058823528</v>
      </c>
    </row>
    <row r="4" spans="1:6" x14ac:dyDescent="0.3">
      <c r="A4" s="3" t="s">
        <v>11</v>
      </c>
      <c r="B4" s="3" t="s">
        <v>22</v>
      </c>
      <c r="C4" s="3">
        <v>10</v>
      </c>
      <c r="D4" s="3">
        <v>10</v>
      </c>
      <c r="E4" s="3">
        <v>0</v>
      </c>
      <c r="F4" s="4">
        <f t="shared" si="0"/>
        <v>1</v>
      </c>
    </row>
    <row r="5" spans="1:6" x14ac:dyDescent="0.3">
      <c r="A5" s="3" t="s">
        <v>11</v>
      </c>
      <c r="B5" s="3" t="s">
        <v>23</v>
      </c>
      <c r="C5" s="3">
        <v>4</v>
      </c>
      <c r="D5" s="3">
        <v>4</v>
      </c>
      <c r="E5" s="3">
        <v>0</v>
      </c>
      <c r="F5" s="4">
        <f t="shared" si="0"/>
        <v>1</v>
      </c>
    </row>
    <row r="6" spans="1:6" x14ac:dyDescent="0.3">
      <c r="A6" s="3" t="s">
        <v>11</v>
      </c>
      <c r="B6" s="3" t="s">
        <v>24</v>
      </c>
      <c r="C6" s="3">
        <v>7</v>
      </c>
      <c r="D6" s="3">
        <v>7</v>
      </c>
      <c r="E6" s="3">
        <v>0</v>
      </c>
      <c r="F6" s="4">
        <f t="shared" si="0"/>
        <v>1</v>
      </c>
    </row>
    <row r="7" spans="1:6" x14ac:dyDescent="0.3">
      <c r="A7" s="3" t="s">
        <v>11</v>
      </c>
      <c r="B7" s="3" t="s">
        <v>25</v>
      </c>
      <c r="C7" s="3">
        <v>9</v>
      </c>
      <c r="D7" s="3">
        <v>9</v>
      </c>
      <c r="E7" s="3">
        <v>0</v>
      </c>
      <c r="F7" s="4">
        <f t="shared" si="0"/>
        <v>1</v>
      </c>
    </row>
    <row r="8" spans="1:6" x14ac:dyDescent="0.3">
      <c r="A8" s="3" t="s">
        <v>11</v>
      </c>
      <c r="B8" s="3" t="s">
        <v>26</v>
      </c>
      <c r="C8" s="3">
        <v>3</v>
      </c>
      <c r="D8" s="3">
        <v>3</v>
      </c>
      <c r="E8" s="3">
        <v>0</v>
      </c>
      <c r="F8" s="4">
        <f t="shared" si="0"/>
        <v>1</v>
      </c>
    </row>
    <row r="9" spans="1:6" x14ac:dyDescent="0.3">
      <c r="A9" s="3" t="s">
        <v>12</v>
      </c>
      <c r="B9" s="3" t="s">
        <v>27</v>
      </c>
      <c r="C9" s="3">
        <v>60</v>
      </c>
      <c r="D9" s="3">
        <v>57</v>
      </c>
      <c r="E9" s="3">
        <v>3</v>
      </c>
      <c r="F9" s="4">
        <f t="shared" si="0"/>
        <v>0.95</v>
      </c>
    </row>
    <row r="10" spans="1:6" x14ac:dyDescent="0.3">
      <c r="A10" s="3" t="s">
        <v>12</v>
      </c>
      <c r="B10" s="3" t="s">
        <v>28</v>
      </c>
      <c r="C10" s="3">
        <v>7</v>
      </c>
      <c r="D10" s="3">
        <v>7</v>
      </c>
      <c r="E10" s="3">
        <v>0</v>
      </c>
      <c r="F10" s="4">
        <f t="shared" si="0"/>
        <v>1</v>
      </c>
    </row>
    <row r="11" spans="1:6" x14ac:dyDescent="0.3">
      <c r="A11" s="3" t="s">
        <v>12</v>
      </c>
      <c r="B11" s="3" t="s">
        <v>29</v>
      </c>
      <c r="C11" s="3">
        <v>11</v>
      </c>
      <c r="D11" s="3">
        <v>8</v>
      </c>
      <c r="E11" s="3">
        <v>3</v>
      </c>
      <c r="F11" s="4">
        <f t="shared" si="0"/>
        <v>0.72727272727272729</v>
      </c>
    </row>
    <row r="12" spans="1:6" x14ac:dyDescent="0.3">
      <c r="A12" s="3" t="s">
        <v>12</v>
      </c>
      <c r="B12" s="3" t="s">
        <v>30</v>
      </c>
      <c r="C12" s="3">
        <v>16</v>
      </c>
      <c r="D12" s="3">
        <v>16</v>
      </c>
      <c r="E12" s="3">
        <v>0</v>
      </c>
      <c r="F12" s="4">
        <f t="shared" si="0"/>
        <v>1</v>
      </c>
    </row>
    <row r="13" spans="1:6" x14ac:dyDescent="0.3">
      <c r="A13" s="3" t="s">
        <v>12</v>
      </c>
      <c r="B13" s="3" t="s">
        <v>31</v>
      </c>
      <c r="C13" s="3">
        <v>33</v>
      </c>
      <c r="D13" s="3">
        <v>32</v>
      </c>
      <c r="E13" s="3">
        <v>1</v>
      </c>
      <c r="F13" s="4">
        <f t="shared" si="0"/>
        <v>0.96969696969696972</v>
      </c>
    </row>
    <row r="14" spans="1:6" x14ac:dyDescent="0.3">
      <c r="A14" s="3" t="s">
        <v>12</v>
      </c>
      <c r="B14" s="3" t="s">
        <v>32</v>
      </c>
      <c r="C14" s="3">
        <v>8</v>
      </c>
      <c r="D14" s="3">
        <v>8</v>
      </c>
      <c r="E14" s="3">
        <v>0</v>
      </c>
      <c r="F14" s="4">
        <f t="shared" si="0"/>
        <v>1</v>
      </c>
    </row>
    <row r="15" spans="1:6" x14ac:dyDescent="0.3">
      <c r="A15" s="3" t="s">
        <v>12</v>
      </c>
      <c r="B15" s="3" t="s">
        <v>33</v>
      </c>
      <c r="C15" s="3">
        <v>18</v>
      </c>
      <c r="D15" s="3">
        <v>11</v>
      </c>
      <c r="E15" s="3">
        <v>7</v>
      </c>
      <c r="F15" s="4">
        <f t="shared" si="0"/>
        <v>0.61111111111111116</v>
      </c>
    </row>
    <row r="16" spans="1:6" x14ac:dyDescent="0.3">
      <c r="A16" s="8" t="s">
        <v>34</v>
      </c>
      <c r="B16" s="3"/>
      <c r="C16" s="8">
        <f>SUM(C2:C15)</f>
        <v>238</v>
      </c>
      <c r="D16" s="8">
        <f>SUM(D2:D15)</f>
        <v>222</v>
      </c>
      <c r="E16" s="8">
        <f>SUM(E2:E15)</f>
        <v>16</v>
      </c>
      <c r="F16" s="9">
        <f t="shared" si="0"/>
        <v>0.9327731092436975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2" customWidth="1"/>
    <col min="4" max="4" width="10" customWidth="1"/>
    <col min="5" max="5" width="40" customWidth="1"/>
    <col min="6" max="6" width="34" customWidth="1"/>
    <col min="7" max="7" width="20" customWidth="1"/>
  </cols>
  <sheetData>
    <row r="1" spans="1:7" ht="24" customHeight="1" x14ac:dyDescent="0.3">
      <c r="A1" s="2" t="s">
        <v>9</v>
      </c>
      <c r="B1" s="2" t="s">
        <v>18</v>
      </c>
      <c r="C1" s="2" t="s">
        <v>35</v>
      </c>
      <c r="D1" s="2" t="s">
        <v>14</v>
      </c>
      <c r="E1" s="2" t="s">
        <v>36</v>
      </c>
      <c r="F1" s="2" t="s">
        <v>37</v>
      </c>
      <c r="G1" s="2" t="s">
        <v>38</v>
      </c>
    </row>
    <row r="2" spans="1:7" ht="28.8" x14ac:dyDescent="0.3">
      <c r="A2" s="3" t="s">
        <v>11</v>
      </c>
      <c r="B2" s="3" t="s">
        <v>21</v>
      </c>
      <c r="C2" s="3" t="s">
        <v>39</v>
      </c>
      <c r="D2" s="3" t="s">
        <v>15</v>
      </c>
      <c r="E2" s="10" t="s">
        <v>40</v>
      </c>
      <c r="F2" s="10" t="s">
        <v>41</v>
      </c>
      <c r="G2" s="3" t="s">
        <v>42</v>
      </c>
    </row>
    <row r="3" spans="1:7" x14ac:dyDescent="0.3">
      <c r="A3" s="3" t="s">
        <v>11</v>
      </c>
      <c r="B3" s="3" t="s">
        <v>21</v>
      </c>
      <c r="C3" s="3" t="s">
        <v>43</v>
      </c>
      <c r="D3" s="3" t="s">
        <v>15</v>
      </c>
      <c r="E3" s="10" t="s">
        <v>44</v>
      </c>
      <c r="F3" s="10" t="s">
        <v>45</v>
      </c>
      <c r="G3" s="3" t="s">
        <v>42</v>
      </c>
    </row>
    <row r="4" spans="1:7" x14ac:dyDescent="0.3">
      <c r="A4" s="3" t="s">
        <v>12</v>
      </c>
      <c r="B4" s="3" t="s">
        <v>27</v>
      </c>
      <c r="C4" s="3" t="s">
        <v>46</v>
      </c>
      <c r="D4" s="3" t="s">
        <v>16</v>
      </c>
      <c r="E4" s="10" t="s">
        <v>47</v>
      </c>
      <c r="F4" s="10" t="s">
        <v>48</v>
      </c>
      <c r="G4" s="3" t="s">
        <v>49</v>
      </c>
    </row>
    <row r="5" spans="1:7" x14ac:dyDescent="0.3">
      <c r="A5" s="3" t="s">
        <v>12</v>
      </c>
      <c r="B5" s="3" t="s">
        <v>27</v>
      </c>
      <c r="C5" s="3" t="s">
        <v>50</v>
      </c>
      <c r="D5" s="3" t="s">
        <v>17</v>
      </c>
      <c r="E5" s="10" t="s">
        <v>51</v>
      </c>
      <c r="F5" s="10" t="s">
        <v>52</v>
      </c>
      <c r="G5" s="3" t="s">
        <v>49</v>
      </c>
    </row>
    <row r="6" spans="1:7" ht="28.8" x14ac:dyDescent="0.3">
      <c r="A6" s="3" t="s">
        <v>12</v>
      </c>
      <c r="B6" s="3" t="s">
        <v>27</v>
      </c>
      <c r="C6" s="3" t="s">
        <v>53</v>
      </c>
      <c r="D6" s="3" t="s">
        <v>17</v>
      </c>
      <c r="E6" s="10" t="s">
        <v>54</v>
      </c>
      <c r="F6" s="10" t="s">
        <v>55</v>
      </c>
      <c r="G6" s="3" t="s">
        <v>49</v>
      </c>
    </row>
    <row r="7" spans="1:7" ht="28.8" x14ac:dyDescent="0.3">
      <c r="A7" s="3" t="s">
        <v>12</v>
      </c>
      <c r="B7" s="3" t="s">
        <v>29</v>
      </c>
      <c r="C7" s="3" t="s">
        <v>56</v>
      </c>
      <c r="D7" s="3" t="s">
        <v>16</v>
      </c>
      <c r="E7" s="10" t="s">
        <v>57</v>
      </c>
      <c r="F7" s="10" t="s">
        <v>58</v>
      </c>
      <c r="G7" s="3" t="s">
        <v>59</v>
      </c>
    </row>
    <row r="8" spans="1:7" ht="28.8" x14ac:dyDescent="0.3">
      <c r="A8" s="3" t="s">
        <v>12</v>
      </c>
      <c r="B8" s="3" t="s">
        <v>29</v>
      </c>
      <c r="C8" s="3" t="s">
        <v>60</v>
      </c>
      <c r="D8" s="3" t="s">
        <v>16</v>
      </c>
      <c r="E8" s="10" t="s">
        <v>61</v>
      </c>
      <c r="F8" s="10" t="s">
        <v>58</v>
      </c>
      <c r="G8" s="3" t="s">
        <v>59</v>
      </c>
    </row>
    <row r="9" spans="1:7" ht="28.8" x14ac:dyDescent="0.3">
      <c r="A9" s="3" t="s">
        <v>12</v>
      </c>
      <c r="B9" s="3" t="s">
        <v>29</v>
      </c>
      <c r="C9" s="3" t="s">
        <v>62</v>
      </c>
      <c r="D9" s="3" t="s">
        <v>16</v>
      </c>
      <c r="E9" s="10" t="s">
        <v>63</v>
      </c>
      <c r="F9" s="10" t="s">
        <v>58</v>
      </c>
      <c r="G9" s="3" t="s">
        <v>64</v>
      </c>
    </row>
    <row r="10" spans="1:7" x14ac:dyDescent="0.3">
      <c r="A10" s="3" t="s">
        <v>12</v>
      </c>
      <c r="B10" s="3" t="s">
        <v>31</v>
      </c>
      <c r="C10" s="3" t="s">
        <v>65</v>
      </c>
      <c r="D10" s="3" t="s">
        <v>16</v>
      </c>
      <c r="E10" s="10" t="s">
        <v>66</v>
      </c>
      <c r="F10" s="10" t="s">
        <v>67</v>
      </c>
      <c r="G10" s="3" t="s">
        <v>42</v>
      </c>
    </row>
    <row r="11" spans="1:7" x14ac:dyDescent="0.3">
      <c r="A11" s="3" t="s">
        <v>12</v>
      </c>
      <c r="B11" s="3" t="s">
        <v>33</v>
      </c>
      <c r="C11" s="3" t="s">
        <v>68</v>
      </c>
      <c r="D11" s="3" t="s">
        <v>15</v>
      </c>
      <c r="E11" s="10" t="s">
        <v>69</v>
      </c>
      <c r="F11" s="10" t="s">
        <v>70</v>
      </c>
      <c r="G11" s="3" t="s">
        <v>42</v>
      </c>
    </row>
    <row r="12" spans="1:7" ht="28.8" x14ac:dyDescent="0.3">
      <c r="A12" s="3" t="s">
        <v>12</v>
      </c>
      <c r="B12" s="3" t="s">
        <v>33</v>
      </c>
      <c r="C12" s="3" t="s">
        <v>71</v>
      </c>
      <c r="D12" s="3" t="s">
        <v>16</v>
      </c>
      <c r="E12" s="10" t="s">
        <v>72</v>
      </c>
      <c r="F12" s="10" t="s">
        <v>73</v>
      </c>
      <c r="G12" s="3" t="s">
        <v>42</v>
      </c>
    </row>
    <row r="13" spans="1:7" ht="28.8" x14ac:dyDescent="0.3">
      <c r="A13" s="3" t="s">
        <v>12</v>
      </c>
      <c r="B13" s="3" t="s">
        <v>33</v>
      </c>
      <c r="C13" s="3" t="s">
        <v>74</v>
      </c>
      <c r="D13" s="3" t="s">
        <v>16</v>
      </c>
      <c r="E13" s="10" t="s">
        <v>75</v>
      </c>
      <c r="F13" s="10" t="s">
        <v>76</v>
      </c>
      <c r="G13" s="3" t="s">
        <v>42</v>
      </c>
    </row>
    <row r="14" spans="1:7" ht="28.8" x14ac:dyDescent="0.3">
      <c r="A14" s="3" t="s">
        <v>12</v>
      </c>
      <c r="B14" s="3" t="s">
        <v>33</v>
      </c>
      <c r="C14" s="3" t="s">
        <v>77</v>
      </c>
      <c r="D14" s="3" t="s">
        <v>16</v>
      </c>
      <c r="E14" s="10" t="s">
        <v>78</v>
      </c>
      <c r="F14" s="10" t="s">
        <v>79</v>
      </c>
      <c r="G14" s="3" t="s">
        <v>42</v>
      </c>
    </row>
    <row r="15" spans="1:7" ht="28.8" x14ac:dyDescent="0.3">
      <c r="A15" s="3" t="s">
        <v>12</v>
      </c>
      <c r="B15" s="3" t="s">
        <v>33</v>
      </c>
      <c r="C15" s="3" t="s">
        <v>80</v>
      </c>
      <c r="D15" s="3" t="s">
        <v>16</v>
      </c>
      <c r="E15" s="10" t="s">
        <v>81</v>
      </c>
      <c r="F15" s="10" t="s">
        <v>79</v>
      </c>
      <c r="G15" s="3" t="s">
        <v>42</v>
      </c>
    </row>
    <row r="16" spans="1:7" ht="28.8" x14ac:dyDescent="0.3">
      <c r="A16" s="3" t="s">
        <v>12</v>
      </c>
      <c r="B16" s="3" t="s">
        <v>33</v>
      </c>
      <c r="C16" s="3" t="s">
        <v>82</v>
      </c>
      <c r="D16" s="3" t="s">
        <v>16</v>
      </c>
      <c r="E16" s="10" t="s">
        <v>83</v>
      </c>
      <c r="F16" s="10" t="s">
        <v>84</v>
      </c>
      <c r="G16" s="3" t="s">
        <v>42</v>
      </c>
    </row>
    <row r="17" spans="1:7" ht="28.8" x14ac:dyDescent="0.3">
      <c r="A17" s="3" t="s">
        <v>12</v>
      </c>
      <c r="B17" s="3" t="s">
        <v>33</v>
      </c>
      <c r="C17" s="3" t="s">
        <v>85</v>
      </c>
      <c r="D17" s="3" t="s">
        <v>17</v>
      </c>
      <c r="E17" s="10" t="s">
        <v>86</v>
      </c>
      <c r="F17" s="10" t="s">
        <v>87</v>
      </c>
      <c r="G17" s="3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Module-wise Metrics</vt:lpstr>
      <vt:lpstr>Defect Log (Failures)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Taimoor Ajmal</cp:lastModifiedBy>
  <cp:revision>1</cp:revision>
  <dcterms:created xsi:type="dcterms:W3CDTF">2026-07-25T15:35:05Z</dcterms:created>
  <dcterms:modified xsi:type="dcterms:W3CDTF">2026-07-25T15:40:56Z</dcterms:modified>
  <dc:language>en-US</dc:language>
</cp:coreProperties>
</file>