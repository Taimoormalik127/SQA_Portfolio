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ule-wise Metrics" sheetId="2" state="visible" r:id="rId4"/>
    <sheet name="Defect Log (Failures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<sst xmlns="http://schemas.openxmlformats.org/spreadsheetml/2006/main" count="198" uniqueCount="96">
  <si>
    <t xml:space="preserve">Sydney Quality Meats — Test Execution Metrics (Admin + User Side)</t>
  </si>
  <si>
    <t xml:space="preserve">Metric</t>
  </si>
  <si>
    <t xml:space="preserve">Count</t>
  </si>
  <si>
    <t xml:space="preserve">Percentage</t>
  </si>
  <si>
    <t xml:space="preserve">Total Test Cases</t>
  </si>
  <si>
    <t xml:space="preserve">Pass</t>
  </si>
  <si>
    <t xml:space="preserve">Fail</t>
  </si>
  <si>
    <t xml:space="preserve">Pass Rate</t>
  </si>
  <si>
    <t xml:space="preserve">Panel-wise Breakdown</t>
  </si>
  <si>
    <t xml:space="preserve">Panel</t>
  </si>
  <si>
    <t xml:space="preserve">Total</t>
  </si>
  <si>
    <t xml:space="preserve">Admin Side</t>
  </si>
  <si>
    <t xml:space="preserve">User Side</t>
  </si>
  <si>
    <t xml:space="preserve">Priority-wise Breakdown</t>
  </si>
  <si>
    <t xml:space="preserve">Priority</t>
  </si>
  <si>
    <t xml:space="preserve">High</t>
  </si>
  <si>
    <t xml:space="preserve">Medium</t>
  </si>
  <si>
    <t xml:space="preserve">Low</t>
  </si>
  <si>
    <t xml:space="preserve">Module</t>
  </si>
  <si>
    <t xml:space="preserve">Pass %</t>
  </si>
  <si>
    <t xml:space="preserve">Dashboard</t>
  </si>
  <si>
    <t xml:space="preserve">Brands-Create Brand</t>
  </si>
  <si>
    <t xml:space="preserve">Brands-Brands List</t>
  </si>
  <si>
    <t xml:space="preserve">Brands-Trash List</t>
  </si>
  <si>
    <t xml:space="preserve">Products-Product type</t>
  </si>
  <si>
    <t xml:space="preserve">Product-Product Create</t>
  </si>
  <si>
    <t xml:space="preserve">Categories-Main Categories</t>
  </si>
  <si>
    <t xml:space="preserve">Home Page</t>
  </si>
  <si>
    <t xml:space="preserve">Login</t>
  </si>
  <si>
    <t xml:space="preserve">Signup</t>
  </si>
  <si>
    <t xml:space="preserve">Contact Page</t>
  </si>
  <si>
    <t xml:space="preserve">Shop Page</t>
  </si>
  <si>
    <t xml:space="preserve">Cart</t>
  </si>
  <si>
    <t xml:space="preserve">Checkout</t>
  </si>
  <si>
    <t xml:space="preserve">TOTAL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</si>
  <si>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</si>
  <si>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</si>
  <si>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</si>
  <si>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</si>
  <si>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TC-13</t>
  </si>
  <si>
    <t xml:space="preserve">Verify style button in brand description works as intended</t>
  </si>
  <si>
    <t xml:space="preserve">Style button in Brand description works as intended</t>
  </si>
  <si>
    <t xml:space="preserve">Not As expected</t>
  </si>
  <si>
    <t xml:space="preserve">TC-18</t>
  </si>
  <si>
    <t xml:space="preserve">Verify font family button in brand description works as intended</t>
  </si>
  <si>
    <t xml:space="preserve">font family button in Brand description works as intended</t>
  </si>
  <si>
    <t xml:space="preserve">As expected</t>
  </si>
  <si>
    <t xml:space="preserve">TC-29</t>
  </si>
  <si>
    <t xml:space="preserve">Verify checkbox in insert link funtionality works as intended</t>
  </si>
  <si>
    <t xml:space="preserve">Link does not open in new window when clicked</t>
  </si>
  <si>
    <t xml:space="preserve">Not As Expected</t>
  </si>
  <si>
    <t xml:space="preserve">TC-30</t>
  </si>
  <si>
    <t xml:space="preserve">Verify fullscreen funtionality works as intended</t>
  </si>
  <si>
    <t xml:space="preserve">Description box opens in fullscreen</t>
  </si>
  <si>
    <t xml:space="preserve">TC-03</t>
  </si>
  <si>
    <t xml:space="preserve">Verify main category creation</t>
  </si>
  <si>
    <t xml:space="preserve">Product created successfully</t>
  </si>
  <si>
    <t xml:space="preserve">Not as expected</t>
  </si>
  <si>
    <t xml:space="preserve">TC-005</t>
  </si>
  <si>
    <t xml:space="preserve">Verify phone number is visible in mobile view</t>
  </si>
  <si>
    <t xml:space="preserve">Phone number is visible</t>
  </si>
  <si>
    <t xml:space="preserve">Not as Expected</t>
  </si>
  <si>
    <t xml:space="preserve">TC-044</t>
  </si>
  <si>
    <t xml:space="preserve">Verify “Return to top” button appears on scroll</t>
  </si>
  <si>
    <t xml:space="preserve">Return to top' button visible</t>
  </si>
  <si>
    <t xml:space="preserve">TC-045</t>
  </si>
  <si>
    <t xml:space="preserve">Verify “Return to top” moves to top when clicked</t>
  </si>
  <si>
    <t xml:space="preserve">Page scrolls to top</t>
  </si>
  <si>
    <t xml:space="preserve">TC-006</t>
  </si>
  <si>
    <t xml:space="preserve">Signup with email without full stop sign before the word 'com'.</t>
  </si>
  <si>
    <t xml:space="preserve">Error Shown and signup fails</t>
  </si>
  <si>
    <t xml:space="preserve">TC-008</t>
  </si>
  <si>
    <t xml:space="preserve">Signup with password that doesn't follow requirements.</t>
  </si>
  <si>
    <t xml:space="preserve">TC-011</t>
  </si>
  <si>
    <t xml:space="preserve">Signup with adding invalid data in optional business details section</t>
  </si>
  <si>
    <t xml:space="preserve">SH-20</t>
  </si>
  <si>
    <t xml:space="preserve">Click product image</t>
  </si>
  <si>
    <t xml:space="preserve">Redirect to product details page</t>
  </si>
  <si>
    <t xml:space="preserve">Place order with valid data</t>
  </si>
  <si>
    <t xml:space="preserve">Order should get placed successfully</t>
  </si>
  <si>
    <t xml:space="preserve">TC-06</t>
  </si>
  <si>
    <t xml:space="preserve">Verify phone number validation</t>
  </si>
  <si>
    <t xml:space="preserve">Error shown</t>
  </si>
  <si>
    <t xml:space="preserve">TC-12</t>
  </si>
  <si>
    <t xml:space="preserve">Verify Phone number length validation</t>
  </si>
  <si>
    <t xml:space="preserve">Error should show for shorter phone number length</t>
  </si>
  <si>
    <t xml:space="preserve">Enter Special characters in name field</t>
  </si>
  <si>
    <t xml:space="preserve">Validation error should appear stating name field can only have alphabets</t>
  </si>
  <si>
    <t xml:space="preserve">TC-14</t>
  </si>
  <si>
    <t xml:space="preserve">Enter Numeric characters in name field</t>
  </si>
  <si>
    <t xml:space="preserve">TC-15</t>
  </si>
  <si>
    <t xml:space="preserve">Verify item can be removed or their quantity can be changed from checkout page</t>
  </si>
  <si>
    <t xml:space="preserve">User should be able to remove items or change their values from checkout page</t>
  </si>
  <si>
    <t xml:space="preserve">TC-17</t>
  </si>
  <si>
    <t xml:space="preserve">Verify input field highlights after trying to process with incorrect data</t>
  </si>
  <si>
    <t xml:space="preserve">Field should get highlighted for user focus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</si>
</sst>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Case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Summary!$A$5:$A$6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Summary!$B$5:$B$6</c:f>
              <c:numCache>
                <c:formatCode>General</c:formatCode>
                <c:ptCount val="2"/>
                <c:pt idx="0">
                  <c:v>219</c:v>
                </c:pt>
                <c:pt idx="1">
                  <c:v>19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Panel-wise Test Case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Summary!C10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Admin Side</c:v>
                </c:pt>
                <c:pt idx="1">
                  <c:v>User Side</c:v>
                </c:pt>
              </c:strCache>
            </c:strRef>
          </c:cat>
          <c:val>
            <c:numRef>
              <c:f>Summary!$C$11:$C$12</c:f>
              <c:numCache>
                <c:formatCode>General</c:formatCode>
                <c:ptCount val="2"/>
                <c:pt idx="0">
                  <c:v>80</c:v>
                </c:pt>
                <c:pt idx="1">
                  <c:v>139</c:v>
                </c:pt>
              </c:numCache>
            </c:numRef>
          </c:val>
        </c:ser>
        <c:ser>
          <c:idx val="1"/>
          <c:order val="1"/>
          <c:tx>
            <c:strRef>
              <c:f>Summary!D10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Admin Side</c:v>
                </c:pt>
                <c:pt idx="1">
                  <c:v>User Side</c:v>
                </c:pt>
              </c:strCache>
            </c:strRef>
          </c:cat>
          <c:val>
            <c:numRef>
              <c:f>Summary!$D$11:$D$12</c:f>
              <c:numCache>
                <c:formatCode>General</c:formatCode>
                <c:ptCount val="2"/>
                <c:pt idx="0">
                  <c:v>5</c:v>
                </c:pt>
                <c:pt idx="1">
                  <c:v>14</c:v>
                </c:pt>
              </c:numCache>
            </c:numRef>
          </c:val>
        </c:ser>
        <c:gapWidth val="150"/>
        <c:overlap val="0"/>
        <c:axId val="42079669"/>
        <c:axId val="85154715"/>
      </c:barChart>
      <c:catAx>
        <c:axId val="420796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54715"/>
        <c:crosses val="autoZero"/>
        <c:auto val="1"/>
        <c:lblAlgn val="ctr"/>
        <c:lblOffset val="100"/>
        <c:noMultiLvlLbl val="0"/>
      </c:catAx>
      <c:valAx>
        <c:axId val="85154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796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Cases by Priority (Pass vs Fail)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Summary!C15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Summary!$C$16:$C$18</c:f>
              <c:numCache>
                <c:formatCode>General</c:formatCode>
                <c:ptCount val="3"/>
                <c:pt idx="0">
                  <c:v>104</c:v>
                </c:pt>
                <c:pt idx="1">
                  <c:v>78</c:v>
                </c:pt>
                <c:pt idx="2">
                  <c:v>37</c:v>
                </c:pt>
              </c:numCache>
            </c:numRef>
          </c:val>
        </c:ser>
        <c:ser>
          <c:idx val="1"/>
          <c:order val="1"/>
          <c:tx>
            <c:strRef>
              <c:f>Summary!D15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Summary!$D$16:$D$18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3</c:v>
                </c:pt>
              </c:numCache>
            </c:numRef>
          </c:val>
        </c:ser>
        <c:gapWidth val="150"/>
        <c:overlap val="0"/>
        <c:axId val="73616769"/>
        <c:axId val="25314293"/>
      </c:barChart>
      <c:catAx>
        <c:axId val="73616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14293"/>
        <c:crosses val="autoZero"/>
        <c:auto val="1"/>
        <c:lblAlgn val="ctr"/>
        <c:lblOffset val="100"/>
        <c:noMultiLvlLbl val="0"/>
      </c:catAx>
      <c:valAx>
        <c:axId val="25314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167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Module-wise Test Case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'Module-wise Metrics'!D1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'Module-wise Metrics'!$B$2:$B$15</c:f>
              <c:strCache>
                <c:ptCount val="14"/>
                <c:pt idx="0">
                  <c:v>Dashboard</c:v>
                </c:pt>
                <c:pt idx="1">
                  <c:v>Brands-Create Brand</c:v>
                </c:pt>
                <c:pt idx="2">
                  <c:v>Brands-Brands List</c:v>
                </c:pt>
                <c:pt idx="3">
                  <c:v>Brands-Trash List</c:v>
                </c:pt>
                <c:pt idx="4">
                  <c:v>Products-Product type</c:v>
                </c:pt>
                <c:pt idx="5">
                  <c:v>Product-Product Create</c:v>
                </c:pt>
                <c:pt idx="6">
                  <c:v>Categories-Main Categories</c:v>
                </c:pt>
                <c:pt idx="7">
                  <c:v>Home Page</c:v>
                </c:pt>
                <c:pt idx="8">
                  <c:v>Login</c:v>
                </c:pt>
                <c:pt idx="9">
                  <c:v>Signup</c:v>
                </c:pt>
                <c:pt idx="10">
                  <c:v>Contact Page</c:v>
                </c:pt>
                <c:pt idx="11">
                  <c:v>Shop Page</c:v>
                </c:pt>
                <c:pt idx="12">
                  <c:v>Cart</c:v>
                </c:pt>
                <c:pt idx="13">
                  <c:v>Checkout</c:v>
                </c:pt>
              </c:strCache>
            </c:strRef>
          </c:cat>
          <c:val>
            <c:numRef>
              <c:f>'Module-wise Metrics'!$D$2:$D$15</c:f>
              <c:numCache>
                <c:formatCode>General</c:formatCode>
                <c:ptCount val="14"/>
                <c:pt idx="0">
                  <c:v>18</c:v>
                </c:pt>
                <c:pt idx="1">
                  <c:v>30</c:v>
                </c:pt>
                <c:pt idx="2">
                  <c:v>10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2</c:v>
                </c:pt>
                <c:pt idx="7">
                  <c:v>57</c:v>
                </c:pt>
                <c:pt idx="8">
                  <c:v>7</c:v>
                </c:pt>
                <c:pt idx="9">
                  <c:v>8</c:v>
                </c:pt>
                <c:pt idx="10">
                  <c:v>16</c:v>
                </c:pt>
                <c:pt idx="11">
                  <c:v>32</c:v>
                </c:pt>
                <c:pt idx="12">
                  <c:v>8</c:v>
                </c:pt>
                <c:pt idx="13">
                  <c:v>11</c:v>
                </c:pt>
              </c:numCache>
            </c:numRef>
          </c:val>
        </c:ser>
        <c:ser>
          <c:idx val="1"/>
          <c:order val="1"/>
          <c:tx>
            <c:strRef>
              <c:f>'Module-wise Metrics'!E1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'Module-wise Metrics'!$B$2:$B$15</c:f>
              <c:strCache>
                <c:ptCount val="14"/>
                <c:pt idx="0">
                  <c:v>Dashboard</c:v>
                </c:pt>
                <c:pt idx="1">
                  <c:v>Brands-Create Brand</c:v>
                </c:pt>
                <c:pt idx="2">
                  <c:v>Brands-Brands List</c:v>
                </c:pt>
                <c:pt idx="3">
                  <c:v>Brands-Trash List</c:v>
                </c:pt>
                <c:pt idx="4">
                  <c:v>Products-Product type</c:v>
                </c:pt>
                <c:pt idx="5">
                  <c:v>Product-Product Create</c:v>
                </c:pt>
                <c:pt idx="6">
                  <c:v>Categories-Main Categories</c:v>
                </c:pt>
                <c:pt idx="7">
                  <c:v>Home Page</c:v>
                </c:pt>
                <c:pt idx="8">
                  <c:v>Login</c:v>
                </c:pt>
                <c:pt idx="9">
                  <c:v>Signup</c:v>
                </c:pt>
                <c:pt idx="10">
                  <c:v>Contact Page</c:v>
                </c:pt>
                <c:pt idx="11">
                  <c:v>Shop Page</c:v>
                </c:pt>
                <c:pt idx="12">
                  <c:v>Cart</c:v>
                </c:pt>
                <c:pt idx="13">
                  <c:v>Checkout</c:v>
                </c:pt>
              </c:strCache>
            </c:strRef>
          </c:cat>
          <c:val>
            <c:numRef>
              <c:f>'Module-wise Metrics'!$E$2:$E$15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7</c:v>
                </c:pt>
              </c:numCache>
            </c:numRef>
          </c:val>
        </c:ser>
        <c:gapWidth val="150"/>
        <c:overlap val="100"/>
        <c:axId val="4242899"/>
        <c:axId val="8259632"/>
      </c:barChart>
      <c:catAx>
        <c:axId val="4242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9632"/>
        <c:crosses val="autoZero"/>
        <c:auto val="1"/>
        <c:lblAlgn val="ctr"/>
        <c:lblOffset val="100"/>
        <c:noMultiLvlLbl val="0"/>
      </c:catAx>
      <c:valAx>
        <c:axId val="8259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11</xdr:col>
      <xdr:colOff>38880</xdr:colOff>
      <xdr:row>15</xdr:row>
      <xdr:rowOff>30240</xdr:rowOff>
    </xdr:to>
    <xdr:graphicFrame>
      <xdr:nvGraphicFramePr>
        <xdr:cNvPr id="0" name="Chart 1"/>
        <xdr:cNvGraphicFramePr/>
      </xdr:nvGraphicFramePr>
      <xdr:xfrm>
        <a:off x="441756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160560</xdr:rowOff>
    </xdr:from>
    <xdr:to>
      <xdr:col>11</xdr:col>
      <xdr:colOff>38880</xdr:colOff>
      <xdr:row>22</xdr:row>
      <xdr:rowOff>144720</xdr:rowOff>
    </xdr:to>
    <xdr:graphicFrame>
      <xdr:nvGraphicFramePr>
        <xdr:cNvPr id="1" name="Chart 2"/>
        <xdr:cNvGraphicFramePr/>
      </xdr:nvGraphicFramePr>
      <xdr:xfrm>
        <a:off x="4417560" y="18288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13</xdr:row>
      <xdr:rowOff>160560</xdr:rowOff>
    </xdr:from>
    <xdr:to>
      <xdr:col>12</xdr:col>
      <xdr:colOff>147600</xdr:colOff>
      <xdr:row>28</xdr:row>
      <xdr:rowOff>68400</xdr:rowOff>
    </xdr:to>
    <xdr:graphicFrame>
      <xdr:nvGraphicFramePr>
        <xdr:cNvPr id="2" name="Chart 3"/>
        <xdr:cNvGraphicFramePr/>
      </xdr:nvGraphicFramePr>
      <xdr:xfrm>
        <a:off x="4417560" y="28954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21</xdr:col>
      <xdr:colOff>78840</xdr:colOff>
      <xdr:row>23</xdr:row>
      <xdr:rowOff>128880</xdr:rowOff>
    </xdr:to>
    <xdr:graphicFrame>
      <xdr:nvGraphicFramePr>
        <xdr:cNvPr id="3" name="Chart 1"/>
        <xdr:cNvGraphicFramePr/>
      </xdr:nvGraphicFramePr>
      <xdr:xfrm>
        <a:off x="6391440" y="30492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24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n">
        <v>238</v>
      </c>
      <c r="C4" s="4" t="n">
        <v>1</v>
      </c>
    </row>
    <row r="5" customFormat="false" ht="15" hidden="false" customHeight="false" outlineLevel="0" collapsed="false">
      <c r="A5" s="3" t="s">
        <v>5</v>
      </c>
      <c r="B5" s="3" t="n">
        <v>219</v>
      </c>
      <c r="C5" s="4" t="n">
        <f aca="false">B5/$B$4</f>
        <v>0.920168067226891</v>
      </c>
    </row>
    <row r="6" customFormat="false" ht="15" hidden="false" customHeight="false" outlineLevel="0" collapsed="false">
      <c r="A6" s="3" t="s">
        <v>6</v>
      </c>
      <c r="B6" s="3" t="n">
        <v>19</v>
      </c>
      <c r="C6" s="4" t="n">
        <f aca="false">B6/$B$4</f>
        <v>0.0798319327731092</v>
      </c>
    </row>
    <row r="7" customFormat="false" ht="15" hidden="false" customHeight="false" outlineLevel="0" collapsed="false">
      <c r="A7" s="5" t="s">
        <v>7</v>
      </c>
      <c r="B7" s="6" t="n">
        <f aca="false">IFERROR(B5/B4,0)</f>
        <v>0.920168067226891</v>
      </c>
    </row>
    <row r="9" customFormat="false" ht="15" hidden="false" customHeight="false" outlineLevel="0" collapsed="false">
      <c r="A9" s="7" t="s">
        <v>8</v>
      </c>
    </row>
    <row r="10" customFormat="false" ht="24" hidden="false" customHeight="true" outlineLevel="0" collapsed="false">
      <c r="A10" s="2" t="s">
        <v>9</v>
      </c>
      <c r="B10" s="2" t="s">
        <v>10</v>
      </c>
      <c r="C10" s="2" t="s">
        <v>5</v>
      </c>
      <c r="D10" s="2" t="s">
        <v>6</v>
      </c>
    </row>
    <row r="11" customFormat="false" ht="15" hidden="false" customHeight="false" outlineLevel="0" collapsed="false">
      <c r="A11" s="3" t="s">
        <v>11</v>
      </c>
      <c r="B11" s="3" t="n">
        <v>85</v>
      </c>
      <c r="C11" s="3" t="n">
        <v>80</v>
      </c>
      <c r="D11" s="3" t="n">
        <v>5</v>
      </c>
    </row>
    <row r="12" customFormat="false" ht="15" hidden="false" customHeight="false" outlineLevel="0" collapsed="false">
      <c r="A12" s="3" t="s">
        <v>12</v>
      </c>
      <c r="B12" s="3" t="n">
        <v>153</v>
      </c>
      <c r="C12" s="3" t="n">
        <v>139</v>
      </c>
      <c r="D12" s="3" t="n">
        <v>14</v>
      </c>
    </row>
    <row r="14" customFormat="false" ht="15" hidden="false" customHeight="false" outlineLevel="0" collapsed="false">
      <c r="A14" s="7" t="s">
        <v>13</v>
      </c>
    </row>
    <row r="15" customFormat="false" ht="24" hidden="false" customHeight="true" outlineLevel="0" collapsed="false">
      <c r="A15" s="2" t="s">
        <v>14</v>
      </c>
      <c r="B15" s="2" t="s">
        <v>10</v>
      </c>
      <c r="C15" s="2" t="s">
        <v>5</v>
      </c>
      <c r="D15" s="2" t="s">
        <v>6</v>
      </c>
    </row>
    <row r="16" customFormat="false" ht="15" hidden="false" customHeight="false" outlineLevel="0" collapsed="false">
      <c r="A16" s="3" t="s">
        <v>15</v>
      </c>
      <c r="B16" s="3" t="n">
        <v>110</v>
      </c>
      <c r="C16" s="3" t="n">
        <v>104</v>
      </c>
      <c r="D16" s="3" t="n">
        <v>6</v>
      </c>
    </row>
    <row r="17" customFormat="false" ht="15" hidden="false" customHeight="false" outlineLevel="0" collapsed="false">
      <c r="A17" s="3" t="s">
        <v>16</v>
      </c>
      <c r="B17" s="3" t="n">
        <v>88</v>
      </c>
      <c r="C17" s="3" t="n">
        <v>78</v>
      </c>
      <c r="D17" s="3" t="n">
        <v>10</v>
      </c>
    </row>
    <row r="18" customFormat="false" ht="15" hidden="false" customHeight="false" outlineLevel="0" collapsed="false">
      <c r="A18" s="3" t="s">
        <v>17</v>
      </c>
      <c r="B18" s="3" t="n">
        <v>40</v>
      </c>
      <c r="C18" s="3" t="n">
        <v>37</v>
      </c>
      <c r="D18" s="3" t="n">
        <v>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6" min="4" style="0" width="10"/>
  </cols>
  <sheetData>
    <row r="1" customFormat="false" ht="24" hidden="false" customHeight="true" outlineLevel="0" collapsed="false">
      <c r="A1" s="2" t="s">
        <v>9</v>
      </c>
      <c r="B1" s="2" t="s">
        <v>18</v>
      </c>
      <c r="C1" s="2" t="s">
        <v>4</v>
      </c>
      <c r="D1" s="2" t="s">
        <v>5</v>
      </c>
      <c r="E1" s="2" t="s">
        <v>6</v>
      </c>
      <c r="F1" s="2" t="s">
        <v>19</v>
      </c>
    </row>
    <row r="2" customFormat="false" ht="15" hidden="false" customHeight="false" outlineLevel="0" collapsed="false">
      <c r="A2" s="3" t="s">
        <v>11</v>
      </c>
      <c r="B2" s="3" t="s">
        <v>20</v>
      </c>
      <c r="C2" s="3" t="n">
        <v>18</v>
      </c>
      <c r="D2" s="3" t="n">
        <v>18</v>
      </c>
      <c r="E2" s="3" t="n">
        <v>0</v>
      </c>
      <c r="F2" s="4" t="n">
        <f aca="false">IFERROR(D2/C2,0)</f>
        <v>1</v>
      </c>
    </row>
    <row r="3" customFormat="false" ht="15" hidden="false" customHeight="false" outlineLevel="0" collapsed="false">
      <c r="A3" s="3" t="s">
        <v>11</v>
      </c>
      <c r="B3" s="3" t="s">
        <v>21</v>
      </c>
      <c r="C3" s="3" t="n">
        <v>34</v>
      </c>
      <c r="D3" s="3" t="n">
        <v>30</v>
      </c>
      <c r="E3" s="3" t="n">
        <v>4</v>
      </c>
      <c r="F3" s="4" t="n">
        <f aca="false">IFERROR(D3/C3,0)</f>
        <v>0.882352941176471</v>
      </c>
    </row>
    <row r="4" customFormat="false" ht="15" hidden="false" customHeight="false" outlineLevel="0" collapsed="false">
      <c r="A4" s="3" t="s">
        <v>11</v>
      </c>
      <c r="B4" s="3" t="s">
        <v>22</v>
      </c>
      <c r="C4" s="3" t="n">
        <v>10</v>
      </c>
      <c r="D4" s="3" t="n">
        <v>10</v>
      </c>
      <c r="E4" s="3" t="n">
        <v>0</v>
      </c>
      <c r="F4" s="4" t="n">
        <f aca="false">IFERROR(D4/C4,0)</f>
        <v>1</v>
      </c>
    </row>
    <row r="5" customFormat="false" ht="15" hidden="false" customHeight="false" outlineLevel="0" collapsed="false">
      <c r="A5" s="3" t="s">
        <v>11</v>
      </c>
      <c r="B5" s="3" t="s">
        <v>23</v>
      </c>
      <c r="C5" s="3" t="n">
        <v>4</v>
      </c>
      <c r="D5" s="3" t="n">
        <v>4</v>
      </c>
      <c r="E5" s="3" t="n">
        <v>0</v>
      </c>
      <c r="F5" s="4" t="n">
        <f aca="false">IFERROR(D5/C5,0)</f>
        <v>1</v>
      </c>
    </row>
    <row r="6" customFormat="false" ht="15" hidden="false" customHeight="false" outlineLevel="0" collapsed="false">
      <c r="A6" s="3" t="s">
        <v>11</v>
      </c>
      <c r="B6" s="3" t="s">
        <v>24</v>
      </c>
      <c r="C6" s="3" t="n">
        <v>7</v>
      </c>
      <c r="D6" s="3" t="n">
        <v>7</v>
      </c>
      <c r="E6" s="3" t="n">
        <v>0</v>
      </c>
      <c r="F6" s="4" t="n">
        <f aca="false">IFERROR(D6/C6,0)</f>
        <v>1</v>
      </c>
    </row>
    <row r="7" customFormat="false" ht="15" hidden="false" customHeight="false" outlineLevel="0" collapsed="false">
      <c r="A7" s="3" t="s">
        <v>11</v>
      </c>
      <c r="B7" s="3" t="s">
        <v>25</v>
      </c>
      <c r="C7" s="3" t="n">
        <v>9</v>
      </c>
      <c r="D7" s="3" t="n">
        <v>9</v>
      </c>
      <c r="E7" s="3" t="n">
        <v>0</v>
      </c>
      <c r="F7" s="4" t="n">
        <f aca="false">IFERROR(D7/C7,0)</f>
        <v>1</v>
      </c>
    </row>
    <row r="8" customFormat="false" ht="15" hidden="false" customHeight="false" outlineLevel="0" collapsed="false">
      <c r="A8" s="3" t="s">
        <v>11</v>
      </c>
      <c r="B8" s="3" t="s">
        <v>26</v>
      </c>
      <c r="C8" s="3" t="n">
        <v>3</v>
      </c>
      <c r="D8" s="3" t="n">
        <v>2</v>
      </c>
      <c r="E8" s="3" t="n">
        <v>1</v>
      </c>
      <c r="F8" s="4" t="n">
        <f aca="false">IFERROR(D8/C8,0)</f>
        <v>0.666666666666667</v>
      </c>
    </row>
    <row r="9" customFormat="false" ht="15" hidden="false" customHeight="false" outlineLevel="0" collapsed="false">
      <c r="A9" s="3" t="s">
        <v>12</v>
      </c>
      <c r="B9" s="3" t="s">
        <v>27</v>
      </c>
      <c r="C9" s="3" t="n">
        <v>60</v>
      </c>
      <c r="D9" s="3" t="n">
        <v>57</v>
      </c>
      <c r="E9" s="3" t="n">
        <v>3</v>
      </c>
      <c r="F9" s="4" t="n">
        <f aca="false">IFERROR(D9/C9,0)</f>
        <v>0.95</v>
      </c>
    </row>
    <row r="10" customFormat="false" ht="15" hidden="false" customHeight="false" outlineLevel="0" collapsed="false">
      <c r="A10" s="3" t="s">
        <v>12</v>
      </c>
      <c r="B10" s="3" t="s">
        <v>28</v>
      </c>
      <c r="C10" s="3" t="n">
        <v>7</v>
      </c>
      <c r="D10" s="3" t="n">
        <v>7</v>
      </c>
      <c r="E10" s="3" t="n">
        <v>0</v>
      </c>
      <c r="F10" s="4" t="n">
        <f aca="false">IFERROR(D10/C10,0)</f>
        <v>1</v>
      </c>
    </row>
    <row r="11" customFormat="false" ht="15" hidden="false" customHeight="false" outlineLevel="0" collapsed="false">
      <c r="A11" s="3" t="s">
        <v>12</v>
      </c>
      <c r="B11" s="3" t="s">
        <v>29</v>
      </c>
      <c r="C11" s="3" t="n">
        <v>11</v>
      </c>
      <c r="D11" s="3" t="n">
        <v>8</v>
      </c>
      <c r="E11" s="3" t="n">
        <v>3</v>
      </c>
      <c r="F11" s="4" t="n">
        <f aca="false">IFERROR(D11/C11,0)</f>
        <v>0.727272727272727</v>
      </c>
    </row>
    <row r="12" customFormat="false" ht="15" hidden="false" customHeight="false" outlineLevel="0" collapsed="false">
      <c r="A12" s="3" t="s">
        <v>12</v>
      </c>
      <c r="B12" s="3" t="s">
        <v>30</v>
      </c>
      <c r="C12" s="3" t="n">
        <v>16</v>
      </c>
      <c r="D12" s="3" t="n">
        <v>16</v>
      </c>
      <c r="E12" s="3" t="n">
        <v>0</v>
      </c>
      <c r="F12" s="4" t="n">
        <f aca="false">IFERROR(D12/C12,0)</f>
        <v>1</v>
      </c>
    </row>
    <row r="13" customFormat="false" ht="15" hidden="false" customHeight="false" outlineLevel="0" collapsed="false">
      <c r="A13" s="3" t="s">
        <v>12</v>
      </c>
      <c r="B13" s="3" t="s">
        <v>31</v>
      </c>
      <c r="C13" s="3" t="n">
        <v>33</v>
      </c>
      <c r="D13" s="3" t="n">
        <v>32</v>
      </c>
      <c r="E13" s="3" t="n">
        <v>1</v>
      </c>
      <c r="F13" s="4" t="n">
        <f aca="false">IFERROR(D13/C13,0)</f>
        <v>0.96969696969697</v>
      </c>
    </row>
    <row r="14" customFormat="false" ht="15" hidden="false" customHeight="false" outlineLevel="0" collapsed="false">
      <c r="A14" s="3" t="s">
        <v>12</v>
      </c>
      <c r="B14" s="3" t="s">
        <v>32</v>
      </c>
      <c r="C14" s="3" t="n">
        <v>8</v>
      </c>
      <c r="D14" s="3" t="n">
        <v>8</v>
      </c>
      <c r="E14" s="3" t="n">
        <v>0</v>
      </c>
      <c r="F14" s="4" t="n">
        <f aca="false">IFERROR(D14/C14,0)</f>
        <v>1</v>
      </c>
    </row>
    <row r="15" customFormat="false" ht="15" hidden="false" customHeight="false" outlineLevel="0" collapsed="false">
      <c r="A15" s="3" t="s">
        <v>12</v>
      </c>
      <c r="B15" s="3" t="s">
        <v>33</v>
      </c>
      <c r="C15" s="3" t="n">
        <v>18</v>
      </c>
      <c r="D15" s="3" t="n">
        <v>11</v>
      </c>
      <c r="E15" s="3" t="n">
        <v>7</v>
      </c>
      <c r="F15" s="4" t="n">
        <f aca="false">IFERROR(D15/C15,0)</f>
        <v>0.611111111111111</v>
      </c>
    </row>
    <row r="16" customFormat="false" ht="15" hidden="false" customHeight="false" outlineLevel="0" collapsed="false">
      <c r="A16" s="8" t="s">
        <v>34</v>
      </c>
      <c r="B16" s="3"/>
      <c r="C16" s="8" t="n">
        <f aca="false">SUM(C2:C15)</f>
        <v>238</v>
      </c>
      <c r="D16" s="8" t="n">
        <f aca="false">SUM(D2:D15)</f>
        <v>219</v>
      </c>
      <c r="E16" s="8" t="n">
        <f aca="false">SUM(E2:E15)</f>
        <v>19</v>
      </c>
      <c r="F16" s="9" t="n">
        <f aca="false">IFERROR(D16/C16,0)</f>
        <v>0.920168067226891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0"/>
  </cols>
  <sheetData>
    <row r="1" customFormat="false" ht="24" hidden="false" customHeight="true" outlineLevel="0" collapsed="false">
      <c r="A1" s="2" t="s">
        <v>9</v>
      </c>
      <c r="B1" s="2" t="s">
        <v>18</v>
      </c>
      <c r="C1" s="2" t="s">
        <v>35</v>
      </c>
      <c r="D1" s="2" t="s">
        <v>14</v>
      </c>
      <c r="E1" s="2" t="s">
        <v>36</v>
      </c>
      <c r="F1" s="2" t="s">
        <v>37</v>
      </c>
      <c r="G1" s="2" t="s">
        <v>38</v>
      </c>
    </row>
    <row r="2" customFormat="false" ht="28.35" hidden="false" customHeight="false" outlineLevel="0" collapsed="false">
      <c r="A2" s="3" t="s">
        <v>11</v>
      </c>
      <c r="B2" s="3" t="s">
        <v>21</v>
      </c>
      <c r="C2" s="3" t="s">
        <v>39</v>
      </c>
      <c r="D2" s="3" t="s">
        <v>15</v>
      </c>
      <c r="E2" s="10" t="s">
        <v>40</v>
      </c>
      <c r="F2" s="10" t="s">
        <v>41</v>
      </c>
      <c r="G2" s="3" t="s">
        <v>42</v>
      </c>
    </row>
    <row r="3" customFormat="false" ht="28.35" hidden="false" customHeight="false" outlineLevel="0" collapsed="false">
      <c r="A3" s="3" t="s">
        <v>11</v>
      </c>
      <c r="B3" s="3" t="s">
        <v>21</v>
      </c>
      <c r="C3" s="3" t="s">
        <v>43</v>
      </c>
      <c r="D3" s="3" t="s">
        <v>15</v>
      </c>
      <c r="E3" s="10" t="s">
        <v>44</v>
      </c>
      <c r="F3" s="10" t="s">
        <v>45</v>
      </c>
      <c r="G3" s="3" t="s">
        <v>46</v>
      </c>
    </row>
    <row r="4" customFormat="false" ht="28.35" hidden="false" customHeight="false" outlineLevel="0" collapsed="false">
      <c r="A4" s="3" t="s">
        <v>11</v>
      </c>
      <c r="B4" s="3" t="s">
        <v>21</v>
      </c>
      <c r="C4" s="3" t="s">
        <v>47</v>
      </c>
      <c r="D4" s="3" t="s">
        <v>15</v>
      </c>
      <c r="E4" s="10" t="s">
        <v>48</v>
      </c>
      <c r="F4" s="10" t="s">
        <v>49</v>
      </c>
      <c r="G4" s="3" t="s">
        <v>50</v>
      </c>
    </row>
    <row r="5" customFormat="false" ht="28.35" hidden="false" customHeight="false" outlineLevel="0" collapsed="false">
      <c r="A5" s="3" t="s">
        <v>11</v>
      </c>
      <c r="B5" s="3" t="s">
        <v>21</v>
      </c>
      <c r="C5" s="3" t="s">
        <v>51</v>
      </c>
      <c r="D5" s="3" t="s">
        <v>15</v>
      </c>
      <c r="E5" s="10" t="s">
        <v>52</v>
      </c>
      <c r="F5" s="10" t="s">
        <v>53</v>
      </c>
      <c r="G5" s="3" t="s">
        <v>50</v>
      </c>
    </row>
    <row r="6" customFormat="false" ht="15" hidden="false" customHeight="false" outlineLevel="0" collapsed="false">
      <c r="A6" s="3" t="s">
        <v>11</v>
      </c>
      <c r="B6" s="3" t="s">
        <v>26</v>
      </c>
      <c r="C6" s="3" t="s">
        <v>54</v>
      </c>
      <c r="D6" s="3" t="s">
        <v>15</v>
      </c>
      <c r="E6" s="10" t="s">
        <v>55</v>
      </c>
      <c r="F6" s="10" t="s">
        <v>56</v>
      </c>
      <c r="G6" s="3" t="s">
        <v>57</v>
      </c>
    </row>
    <row r="7" customFormat="false" ht="15" hidden="false" customHeight="false" outlineLevel="0" collapsed="false">
      <c r="A7" s="3" t="s">
        <v>12</v>
      </c>
      <c r="B7" s="3" t="s">
        <v>27</v>
      </c>
      <c r="C7" s="3" t="s">
        <v>58</v>
      </c>
      <c r="D7" s="3" t="s">
        <v>16</v>
      </c>
      <c r="E7" s="10" t="s">
        <v>59</v>
      </c>
      <c r="F7" s="10" t="s">
        <v>60</v>
      </c>
      <c r="G7" s="3" t="s">
        <v>61</v>
      </c>
    </row>
    <row r="8" customFormat="false" ht="28.35" hidden="false" customHeight="false" outlineLevel="0" collapsed="false">
      <c r="A8" s="3" t="s">
        <v>12</v>
      </c>
      <c r="B8" s="3" t="s">
        <v>27</v>
      </c>
      <c r="C8" s="3" t="s">
        <v>62</v>
      </c>
      <c r="D8" s="3" t="s">
        <v>17</v>
      </c>
      <c r="E8" s="10" t="s">
        <v>63</v>
      </c>
      <c r="F8" s="10" t="s">
        <v>64</v>
      </c>
      <c r="G8" s="3" t="s">
        <v>61</v>
      </c>
    </row>
    <row r="9" customFormat="false" ht="28.35" hidden="false" customHeight="false" outlineLevel="0" collapsed="false">
      <c r="A9" s="3" t="s">
        <v>12</v>
      </c>
      <c r="B9" s="3" t="s">
        <v>27</v>
      </c>
      <c r="C9" s="3" t="s">
        <v>65</v>
      </c>
      <c r="D9" s="3" t="s">
        <v>17</v>
      </c>
      <c r="E9" s="10" t="s">
        <v>66</v>
      </c>
      <c r="F9" s="10" t="s">
        <v>67</v>
      </c>
      <c r="G9" s="3" t="s">
        <v>61</v>
      </c>
    </row>
    <row r="10" customFormat="false" ht="28.35" hidden="false" customHeight="false" outlineLevel="0" collapsed="false">
      <c r="A10" s="3" t="s">
        <v>12</v>
      </c>
      <c r="B10" s="3" t="s">
        <v>29</v>
      </c>
      <c r="C10" s="3" t="s">
        <v>68</v>
      </c>
      <c r="D10" s="3" t="s">
        <v>16</v>
      </c>
      <c r="E10" s="10" t="s">
        <v>69</v>
      </c>
      <c r="F10" s="10" t="s">
        <v>70</v>
      </c>
      <c r="G10" s="3" t="s">
        <v>57</v>
      </c>
    </row>
    <row r="11" customFormat="false" ht="28.35" hidden="false" customHeight="false" outlineLevel="0" collapsed="false">
      <c r="A11" s="3" t="s">
        <v>12</v>
      </c>
      <c r="B11" s="3" t="s">
        <v>29</v>
      </c>
      <c r="C11" s="3" t="s">
        <v>71</v>
      </c>
      <c r="D11" s="3" t="s">
        <v>16</v>
      </c>
      <c r="E11" s="10" t="s">
        <v>72</v>
      </c>
      <c r="F11" s="10" t="s">
        <v>70</v>
      </c>
      <c r="G11" s="3" t="s">
        <v>57</v>
      </c>
    </row>
    <row r="12" customFormat="false" ht="28.35" hidden="false" customHeight="false" outlineLevel="0" collapsed="false">
      <c r="A12" s="3" t="s">
        <v>12</v>
      </c>
      <c r="B12" s="3" t="s">
        <v>29</v>
      </c>
      <c r="C12" s="3" t="s">
        <v>73</v>
      </c>
      <c r="D12" s="3" t="s">
        <v>16</v>
      </c>
      <c r="E12" s="10" t="s">
        <v>74</v>
      </c>
      <c r="F12" s="10" t="s">
        <v>70</v>
      </c>
      <c r="G12" s="3" t="s">
        <v>42</v>
      </c>
    </row>
    <row r="13" customFormat="false" ht="15" hidden="false" customHeight="false" outlineLevel="0" collapsed="false">
      <c r="A13" s="3" t="s">
        <v>12</v>
      </c>
      <c r="B13" s="3" t="s">
        <v>31</v>
      </c>
      <c r="C13" s="3" t="s">
        <v>75</v>
      </c>
      <c r="D13" s="3" t="s">
        <v>16</v>
      </c>
      <c r="E13" s="10" t="s">
        <v>76</v>
      </c>
      <c r="F13" s="10" t="s">
        <v>77</v>
      </c>
      <c r="G13" s="3" t="s">
        <v>50</v>
      </c>
    </row>
    <row r="14" customFormat="false" ht="15" hidden="false" customHeight="false" outlineLevel="0" collapsed="false">
      <c r="A14" s="3" t="s">
        <v>12</v>
      </c>
      <c r="B14" s="3" t="s">
        <v>33</v>
      </c>
      <c r="C14" s="3" t="s">
        <v>54</v>
      </c>
      <c r="D14" s="3" t="s">
        <v>15</v>
      </c>
      <c r="E14" s="10" t="s">
        <v>78</v>
      </c>
      <c r="F14" s="10" t="s">
        <v>79</v>
      </c>
      <c r="G14" s="3" t="s">
        <v>50</v>
      </c>
    </row>
    <row r="15" customFormat="false" ht="15" hidden="false" customHeight="false" outlineLevel="0" collapsed="false">
      <c r="A15" s="3" t="s">
        <v>12</v>
      </c>
      <c r="B15" s="3" t="s">
        <v>33</v>
      </c>
      <c r="C15" s="3" t="s">
        <v>80</v>
      </c>
      <c r="D15" s="3" t="s">
        <v>16</v>
      </c>
      <c r="E15" s="10" t="s">
        <v>81</v>
      </c>
      <c r="F15" s="10" t="s">
        <v>82</v>
      </c>
      <c r="G15" s="3" t="s">
        <v>50</v>
      </c>
    </row>
    <row r="16" customFormat="false" ht="28.35" hidden="false" customHeight="false" outlineLevel="0" collapsed="false">
      <c r="A16" s="3" t="s">
        <v>12</v>
      </c>
      <c r="B16" s="3" t="s">
        <v>33</v>
      </c>
      <c r="C16" s="3" t="s">
        <v>83</v>
      </c>
      <c r="D16" s="3" t="s">
        <v>16</v>
      </c>
      <c r="E16" s="10" t="s">
        <v>84</v>
      </c>
      <c r="F16" s="10" t="s">
        <v>85</v>
      </c>
      <c r="G16" s="3" t="s">
        <v>50</v>
      </c>
    </row>
    <row r="17" customFormat="false" ht="28.35" hidden="false" customHeight="false" outlineLevel="0" collapsed="false">
      <c r="A17" s="3" t="s">
        <v>12</v>
      </c>
      <c r="B17" s="3" t="s">
        <v>33</v>
      </c>
      <c r="C17" s="3" t="s">
        <v>39</v>
      </c>
      <c r="D17" s="3" t="s">
        <v>16</v>
      </c>
      <c r="E17" s="10" t="s">
        <v>86</v>
      </c>
      <c r="F17" s="10" t="s">
        <v>87</v>
      </c>
      <c r="G17" s="3" t="s">
        <v>50</v>
      </c>
    </row>
    <row r="18" customFormat="false" ht="28.35" hidden="false" customHeight="false" outlineLevel="0" collapsed="false">
      <c r="A18" s="3" t="s">
        <v>12</v>
      </c>
      <c r="B18" s="3" t="s">
        <v>33</v>
      </c>
      <c r="C18" s="3" t="s">
        <v>88</v>
      </c>
      <c r="D18" s="3" t="s">
        <v>16</v>
      </c>
      <c r="E18" s="10" t="s">
        <v>89</v>
      </c>
      <c r="F18" s="10" t="s">
        <v>87</v>
      </c>
      <c r="G18" s="3" t="s">
        <v>50</v>
      </c>
    </row>
    <row r="19" customFormat="false" ht="41.75" hidden="false" customHeight="false" outlineLevel="0" collapsed="false">
      <c r="A19" s="3" t="s">
        <v>12</v>
      </c>
      <c r="B19" s="3" t="s">
        <v>33</v>
      </c>
      <c r="C19" s="3" t="s">
        <v>90</v>
      </c>
      <c r="D19" s="3" t="s">
        <v>16</v>
      </c>
      <c r="E19" s="10" t="s">
        <v>91</v>
      </c>
      <c r="F19" s="10" t="s">
        <v>92</v>
      </c>
      <c r="G19" s="3" t="s">
        <v>50</v>
      </c>
    </row>
    <row r="20" customFormat="false" ht="28.35" hidden="false" customHeight="false" outlineLevel="0" collapsed="false">
      <c r="A20" s="3" t="s">
        <v>12</v>
      </c>
      <c r="B20" s="3" t="s">
        <v>33</v>
      </c>
      <c r="C20" s="3" t="s">
        <v>93</v>
      </c>
      <c r="D20" s="3" t="s">
        <v>17</v>
      </c>
      <c r="E20" s="10" t="s">
        <v>94</v>
      </c>
      <c r="F20" s="10" t="s">
        <v>95</v>
      </c>
      <c r="G20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2026-07-25T09:49:33Z</dcterms:created>
  <dc:creator>openpyxl</dc:creator>
  <dc:description/>
  <dc:language>en-US</dc:language>
  <cp:lastModifiedBy/>
  <dcterms:modified xsi:type="dcterms:W3CDTF">2026-07-25T09:49:43Z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