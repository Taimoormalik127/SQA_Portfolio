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QA\GitHub\Git\1. ERP Construction (Proprietry - Live Project)\RTM &amp; Test Metrics\"/>
    </mc:Choice>
  </mc:AlternateContent>
  <xr:revisionPtr revIDLastSave="0" documentId="13_ncr:1_{53AB78B3-1552-45DF-85B5-077821A06093}" xr6:coauthVersionLast="47" xr6:coauthVersionMax="47" xr10:uidLastSave="{00000000-0000-0000-0000-000000000000}"/>
  <bookViews>
    <workbookView xWindow="-108" yWindow="-108" windowWidth="23256" windowHeight="13176" activeTab="1" xr2:uid="{00000000-000D-0000-FFFF-FFFF00000000}"/>
  </bookViews>
  <sheets>
    <sheet name="Summary" sheetId="1" r:id="rId1"/>
    <sheet name="Module-wise Metrics" sheetId="2" r:id="rId2"/>
    <sheet name="Defect Log (Failures)" sheetId="3" r:id="rId3"/>
    <sheet name="Blocked-Pending Log" sheetId="4" r:id="rId4"/>
  </sheets>
  <calcPr calcId="181029"/>
</workbook>
</file>

<file path=xl/calcChain.xml><?xml version="1.0" encoding="utf-8"?>
<calcChain xmlns="http://schemas.openxmlformats.org/spreadsheetml/2006/main">
  <c r="G30" i="2" l="1"/>
  <c r="F30" i="2"/>
  <c r="E30" i="2"/>
  <c r="D30" i="2"/>
  <c r="H30" i="2" s="1"/>
  <c r="C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B9" i="1"/>
  <c r="C8" i="1"/>
  <c r="C7" i="1"/>
  <c r="C6" i="1"/>
  <c r="C5" i="1"/>
</calcChain>
</file>

<file path=xl/sharedStrings.xml><?xml version="1.0" encoding="utf-8"?>
<sst xmlns="http://schemas.openxmlformats.org/spreadsheetml/2006/main" count="1634" uniqueCount="534">
  <si>
    <t>WMS Test Execution Metrics — Combined (Admin + Subcontractor Panels)</t>
  </si>
  <si>
    <t>Metric</t>
  </si>
  <si>
    <t>Count</t>
  </si>
  <si>
    <t>Percentage</t>
  </si>
  <si>
    <t>Total Test Cases</t>
  </si>
  <si>
    <t>Pass</t>
  </si>
  <si>
    <t>Fail</t>
  </si>
  <si>
    <t>Pending</t>
  </si>
  <si>
    <t>Blocked</t>
  </si>
  <si>
    <t>Pass Rate (of Executed)</t>
  </si>
  <si>
    <t>Panel-wise Breakdown</t>
  </si>
  <si>
    <t>Panel</t>
  </si>
  <si>
    <t>Total</t>
  </si>
  <si>
    <t>Blocked/Pending</t>
  </si>
  <si>
    <t>Admin Panel</t>
  </si>
  <si>
    <t>Subcontractor Panel</t>
  </si>
  <si>
    <t>Priority-wise Breakdown</t>
  </si>
  <si>
    <t>Priority</t>
  </si>
  <si>
    <t>High</t>
  </si>
  <si>
    <t>Medium</t>
  </si>
  <si>
    <t>Low</t>
  </si>
  <si>
    <t>Module</t>
  </si>
  <si>
    <t>Pass %</t>
  </si>
  <si>
    <t>Login</t>
  </si>
  <si>
    <t>Employees-Add Employee</t>
  </si>
  <si>
    <t>Employees-Self Onboarding</t>
  </si>
  <si>
    <t>Employees-Settings</t>
  </si>
  <si>
    <t>HRM-Required Documents</t>
  </si>
  <si>
    <t>HRM-Induction</t>
  </si>
  <si>
    <t>HRM-Roster</t>
  </si>
  <si>
    <t>HRM-Attendance</t>
  </si>
  <si>
    <t>Leave Management</t>
  </si>
  <si>
    <t>Payroll</t>
  </si>
  <si>
    <t>Super Funds</t>
  </si>
  <si>
    <t>WMS-Clients</t>
  </si>
  <si>
    <t>Subcontractors</t>
  </si>
  <si>
    <t>Sites &amp; Projects</t>
  </si>
  <si>
    <t>Safety &amp; Compliance</t>
  </si>
  <si>
    <t>Toolbox &amp; Pre-Start Meetings</t>
  </si>
  <si>
    <t>Assets Management</t>
  </si>
  <si>
    <t>Help Desk</t>
  </si>
  <si>
    <t>Invoices</t>
  </si>
  <si>
    <t>Assigned Projects</t>
  </si>
  <si>
    <t>My Team</t>
  </si>
  <si>
    <t>Site defects</t>
  </si>
  <si>
    <t>Site Diaries</t>
  </si>
  <si>
    <t>Project Tasks</t>
  </si>
  <si>
    <t>Tenders &amp; Bids</t>
  </si>
  <si>
    <t>Profile</t>
  </si>
  <si>
    <t>Additional Functionality</t>
  </si>
  <si>
    <t>TOTAL</t>
  </si>
  <si>
    <t>Feature/Sub-Module</t>
  </si>
  <si>
    <t>Test Case ID</t>
  </si>
  <si>
    <t>Test Scenario</t>
  </si>
  <si>
    <t>Expected Result</t>
  </si>
  <si>
    <t>Actual Result</t>
  </si>
  <si>
    <t>Comments</t>
  </si>
  <si>
    <t>Forgot Password</t>
  </si>
  <si>
    <t>TC-13</t>
  </si>
  <si>
    <t>Verify resend code link exist</t>
  </si>
  <si>
    <t>Resend Code link should be present</t>
  </si>
  <si>
    <t>Not As Expected</t>
  </si>
  <si>
    <t>Manage Employee</t>
  </si>
  <si>
    <t>TC-36</t>
  </si>
  <si>
    <t>Send credentials to employee with pending registration</t>
  </si>
  <si>
    <t>Validation error displays for sending credentials to employees with pending registration</t>
  </si>
  <si>
    <t>Company Details</t>
  </si>
  <si>
    <t>TC-09</t>
  </si>
  <si>
    <t>Create employee with Attendance Effective From earlier than Start Date</t>
  </si>
  <si>
    <t>Validation error: Attendace Effective From date cannot be earlier than Start Date</t>
  </si>
  <si>
    <t>TC-10</t>
  </si>
  <si>
    <t>Create employee with End Date earlier than Attendance Effective From date</t>
  </si>
  <si>
    <t>Validation error: End Date cannot be earlier than Attendace Effective From date</t>
  </si>
  <si>
    <t>TC-11</t>
  </si>
  <si>
    <t>Create employee with very long Payroll ID</t>
  </si>
  <si>
    <t>Validation error: Payroll ID should not exceed a set limit</t>
  </si>
  <si>
    <t>TC-12</t>
  </si>
  <si>
    <t>Create employee with Status set to Inactive</t>
  </si>
  <si>
    <t>Employee saved successfully with Inactive status</t>
  </si>
  <si>
    <t>Personal Details</t>
  </si>
  <si>
    <t>TC-06</t>
  </si>
  <si>
    <t>Enter alphabets in Post Code field</t>
  </si>
  <si>
    <t>Validation error should be displayed stating field is numeric</t>
  </si>
  <si>
    <t>Varify saving personal details with uploaded profile picture</t>
  </si>
  <si>
    <t>Personal details should save successfully after uploading profile image</t>
  </si>
  <si>
    <t>Personal details don’t save after uploading a profile image with large resolution even if the image is less than 5MB in size.</t>
  </si>
  <si>
    <t>Verify entering negative number into Super Funds Member Number field</t>
  </si>
  <si>
    <t>Field should not allow negative numbers</t>
  </si>
  <si>
    <t>TC-14</t>
  </si>
  <si>
    <t>Verify entering negative number into Account Number field</t>
  </si>
  <si>
    <t>TC-15</t>
  </si>
  <si>
    <t>Verify entering negative number into BSB Number field</t>
  </si>
  <si>
    <t>Documents</t>
  </si>
  <si>
    <t>TC-01</t>
  </si>
  <si>
    <t>Upload all documents and details and save</t>
  </si>
  <si>
    <t>Documents saved successfully</t>
  </si>
  <si>
    <t>TC-03</t>
  </si>
  <si>
    <t>Upload document images with an unspecified image extention</t>
  </si>
  <si>
    <t>Validation error appears for different image type</t>
  </si>
  <si>
    <t>TC-05</t>
  </si>
  <si>
    <t>Save document after uploading document images</t>
  </si>
  <si>
    <t>Document should save successfully</t>
  </si>
  <si>
    <t>Documents don’t save after uploading document image with large resolution even if the image is less than 5MB in size</t>
  </si>
  <si>
    <t>Save documents without adding expiry date and DOB</t>
  </si>
  <si>
    <t>Documents saved successfullyl</t>
  </si>
  <si>
    <t>TC-08</t>
  </si>
  <si>
    <t>Enter future date as Date of Birth</t>
  </si>
  <si>
    <t>Validation error should be displayed and documents should not save with future date of birth</t>
  </si>
  <si>
    <t>Enter numbers into Full name field and save</t>
  </si>
  <si>
    <t>Validation error should be displayed and documents should not save</t>
  </si>
  <si>
    <t>Emergency Contacts</t>
  </si>
  <si>
    <t>Enter negative number in phone number field</t>
  </si>
  <si>
    <t>Validation error appears for entering negative value</t>
  </si>
  <si>
    <t>TC-04</t>
  </si>
  <si>
    <t>Enter phone number with less than required characters</t>
  </si>
  <si>
    <t>Validation error appears for entering small value</t>
  </si>
  <si>
    <t>Save with invalid email foramt</t>
  </si>
  <si>
    <t>Validation error appears for wrong email format</t>
  </si>
  <si>
    <t>TC-07</t>
  </si>
  <si>
    <t>Enter only numbers in Address field</t>
  </si>
  <si>
    <t>Validation error should be displayed stating field is alphanumeric</t>
  </si>
  <si>
    <t>Edit invite employee details with End Date earlier than Attendance Effective From date</t>
  </si>
  <si>
    <t>TC-16</t>
  </si>
  <si>
    <t>TC-17</t>
  </si>
  <si>
    <t>Edit invite employee details with very long Payroll ID</t>
  </si>
  <si>
    <t>Invite Employee</t>
  </si>
  <si>
    <t>Enter invalid email format</t>
  </si>
  <si>
    <t>Validation message displayed for invalid email format</t>
  </si>
  <si>
    <t>Create invite employee with Attendance Effective From earlier than Start Date</t>
  </si>
  <si>
    <t>Create invite employee with End Date earlier than Attendance Effective From date</t>
  </si>
  <si>
    <t>Create invite employee with very long Payroll ID</t>
  </si>
  <si>
    <t>Manage Document</t>
  </si>
  <si>
    <t>Verify Add Document Functionality</t>
  </si>
  <si>
    <t>Induction Document should successfully be created</t>
  </si>
  <si>
    <t>Verify "Notify all employees via email" functionality in the Add Document section</t>
  </si>
  <si>
    <t>Employees should recieve an email notifying about the document sfter the document is created</t>
  </si>
  <si>
    <t>Verify "Notify all employees via email" functionality in the Edit Document section</t>
  </si>
  <si>
    <t>Employees should recieve an email notifying about the document</t>
  </si>
  <si>
    <t>Upload a PDF file when creating induction document</t>
  </si>
  <si>
    <t>Pdf should successfully upload and document should save</t>
  </si>
  <si>
    <t>Clicking Save button keeps loading after uploading a PDF file larger than 1MB even though the set limit is 10MB. It only saves when the file is 1MB or less.</t>
  </si>
  <si>
    <t>Bulk Schedule</t>
  </si>
  <si>
    <t>Create Bulk Schedule with total required hours less than paid break</t>
  </si>
  <si>
    <t>Validation Error: Total required hours should be more than paid break</t>
  </si>
  <si>
    <t>Create Bulk Schedule with total required hours equal to paid break</t>
  </si>
  <si>
    <t>Create Bulk Schedule with start and end date conflicting with working days</t>
  </si>
  <si>
    <t>Schedule should not get created
Validation Error: Working days don't fall between Start and End Date</t>
  </si>
  <si>
    <t>Mentioned start and end date are saturday and sunday respectively. This conflicts with monday-friday working days.
Schedule does not create as expected but no error becomes visible.</t>
  </si>
  <si>
    <t>TC-22</t>
  </si>
  <si>
    <t>Verify applying leave with Full day checkbox unselected</t>
  </si>
  <si>
    <t>Leave should be create successfully</t>
  </si>
  <si>
    <t>Validation error appears stating to enter end date. There is no end date option when Full Day checkbox is unchecked</t>
  </si>
  <si>
    <t>TC-24</t>
  </si>
  <si>
    <t>Assign shift after leave is created and approved</t>
  </si>
  <si>
    <t>Shift should not assign after leave is approved</t>
  </si>
  <si>
    <t>TC-30</t>
  </si>
  <si>
    <t>Verify when the holiday arrives it shows on the roster</t>
  </si>
  <si>
    <t>Holiday should appear on the roster on specified date</t>
  </si>
  <si>
    <t>Holiday does not appear in the roster on the specified date</t>
  </si>
  <si>
    <t>TC-31</t>
  </si>
  <si>
    <t>Apply leave on holiday</t>
  </si>
  <si>
    <t>Leave cannot be applied on holiday</t>
  </si>
  <si>
    <t>Holiday does not appear in the roster on the specified date. Leave can be applied on the holiday.</t>
  </si>
  <si>
    <t>TC-32</t>
  </si>
  <si>
    <t>Assign shift on holiday</t>
  </si>
  <si>
    <t>Shift cannot be assigned on holiday</t>
  </si>
  <si>
    <t>Holiday does not appear in the roster on the specified date. Shift can be assigned on the holiday.</t>
  </si>
  <si>
    <t>TC-33</t>
  </si>
  <si>
    <t>Verify leave marker changes color after leave request is approved</t>
  </si>
  <si>
    <t>Leave marker color should change after leave is accepted</t>
  </si>
  <si>
    <t>TC-38</t>
  </si>
  <si>
    <t>Enter long text in the message field when creating bulk schedule</t>
  </si>
  <si>
    <t xml:space="preserve">Roster should be created </t>
  </si>
  <si>
    <t>Manage Attendance</t>
  </si>
  <si>
    <t>Add manual attendance with same check-in and check-out time</t>
  </si>
  <si>
    <t>Manual Attendance should not get created with same check-in and check-out time</t>
  </si>
  <si>
    <t>Add manual attendance by selecting break in and break out time same as check in and check out time</t>
  </si>
  <si>
    <t>Manual Attendace should not get created as break times should not be same as check times</t>
  </si>
  <si>
    <t>Add manual attendance by selecting break-out time that exceeds check-out time</t>
  </si>
  <si>
    <t>Manual Attendace should not get created as break-out time cannot exceed check-out time</t>
  </si>
  <si>
    <t>Add manual attendance by selecting break-in time that is earlier than check-in time</t>
  </si>
  <si>
    <t>Manual Attendace should not get created as break-in time cannot be earlier than check-in time</t>
  </si>
  <si>
    <t>Add manual attendance after applying a short leave with attandance time starting after short leave time ends</t>
  </si>
  <si>
    <t>Manual Attendace should get added because attendance time starts after leave time ends</t>
  </si>
  <si>
    <t>Validation error appears stating attendance cannot be added because employee is on leave.
Attendance should add in this case because attendance time starts after short leave ends</t>
  </si>
  <si>
    <t>Verify if employees with pending registration are present when Editing manual attendance</t>
  </si>
  <si>
    <t>Pending employees should not be present in Edit manual attendance section</t>
  </si>
  <si>
    <t>TC-26</t>
  </si>
  <si>
    <t>Verify download selfie feature</t>
  </si>
  <si>
    <t>Employee selfie should get downloaded</t>
  </si>
  <si>
    <t>Request</t>
  </si>
  <si>
    <t>Verify attendance approval functionality by selecting all requests with pending and approved status</t>
  </si>
  <si>
    <t>Employees with pending status should change to approve and employees with already approved status should remain same</t>
  </si>
  <si>
    <t>Employees with approved status remains same but employees with pending status do not change to approved</t>
  </si>
  <si>
    <t>Verify if inactive employees are visible when Editing attendance in Request section</t>
  </si>
  <si>
    <t>Inactive employees should not be present when Editing attendance in Request section</t>
  </si>
  <si>
    <t>Verify if pending employees are visible when Editing attendance in Request section</t>
  </si>
  <si>
    <t>Pending employees should not be present when Editing attendance in Request section</t>
  </si>
  <si>
    <t>Portal</t>
  </si>
  <si>
    <t>TC-02</t>
  </si>
  <si>
    <t>Verify employee attendace details are visible</t>
  </si>
  <si>
    <t>Employee attendance details should be displayed</t>
  </si>
  <si>
    <t>Site, Check In/Out, Break In/Out and Spent Hours are not displayed
Total Required Hours and Difference are present but wrong. All Numbers are 0</t>
  </si>
  <si>
    <t>Verify attendace stats are correct in Portal section</t>
  </si>
  <si>
    <t>Employee attendance stats should be correct based on employee list</t>
  </si>
  <si>
    <t>Total Hours Spent are wrong</t>
  </si>
  <si>
    <t>Overtime</t>
  </si>
  <si>
    <t>Add overtime with different check-in/check-out date</t>
  </si>
  <si>
    <t>There should be a limit on how much overtime can be applied at a time</t>
  </si>
  <si>
    <t>Verify if Pending employees are visible when Adding overtime</t>
  </si>
  <si>
    <t>Pending employees should not be present when adding overtime</t>
  </si>
  <si>
    <t>Verify if Pending employees are visible when Editing overtime</t>
  </si>
  <si>
    <t>Pending employees should not be present when editing overtime</t>
  </si>
  <si>
    <t>Requests</t>
  </si>
  <si>
    <t>Verify if employees with pending registration are present when adding leave</t>
  </si>
  <si>
    <t>Pending employees should not be present in add leave request section</t>
  </si>
  <si>
    <t>Add leave request with end time earlier than start time</t>
  </si>
  <si>
    <t>Leave request should not get created. 
Validation error should appear stating end time cannot be earlier than start time</t>
  </si>
  <si>
    <t>Leave request gets created.
Validation error does not appear. Instead, Leave request creation validation appears</t>
  </si>
  <si>
    <t>Add leave request with long text in reason section</t>
  </si>
  <si>
    <t>Validation error should appear for long text and leave request should not get created</t>
  </si>
  <si>
    <t>Validation error does not appear and leave gets created</t>
  </si>
  <si>
    <t>Edit leave request after leave is approved</t>
  </si>
  <si>
    <t>No Details should be editable after leave request is approved</t>
  </si>
  <si>
    <t>Leave request details can be saved after editing which should not be allowed</t>
  </si>
  <si>
    <t>TC-19</t>
  </si>
  <si>
    <t>Verify if employees with pending registration are present when editing leave request</t>
  </si>
  <si>
    <t>Pending employees should not be present in Edit request section</t>
  </si>
  <si>
    <t>TC-21</t>
  </si>
  <si>
    <t>Verify leave marker changes color in the Roster after leave request is approved</t>
  </si>
  <si>
    <t>Leave marker color should change in roster after leave is accepted</t>
  </si>
  <si>
    <t>Leave marker color remains same after leave is accepted</t>
  </si>
  <si>
    <t>Packages</t>
  </si>
  <si>
    <t>Add Leave Package with 0 number of leaves</t>
  </si>
  <si>
    <t>Validation error should appear stating number of leaves should be greater than 0</t>
  </si>
  <si>
    <t>Leave pacakge gets created without validation error</t>
  </si>
  <si>
    <t>Add Leave Package with negative number of leaves</t>
  </si>
  <si>
    <t>Add Leave Package only shows to selected employee roles in the Roster Section</t>
  </si>
  <si>
    <t>Leave Package should be present for selected employee roles in Roster Section</t>
  </si>
  <si>
    <t>Leave Package is visible for other employee roles such as HR Manager</t>
  </si>
  <si>
    <t>Holidays</t>
  </si>
  <si>
    <t xml:space="preserve">Add New Holiday with Hours Required 0 </t>
  </si>
  <si>
    <t>Required hours should be more than 0</t>
  </si>
  <si>
    <t>Holiday gets created with required hours set to 0</t>
  </si>
  <si>
    <t>Add New Holiday with Hours Required more than the time difference between start and end date</t>
  </si>
  <si>
    <t>Validation error should appear for required hours exceeding holiday time. Holiday should not get created</t>
  </si>
  <si>
    <t>Types</t>
  </si>
  <si>
    <t>Add Leave Type with leave hours set to 0</t>
  </si>
  <si>
    <t>Leave type should not get created.
Validation error should appear stating leave hours should be more than 0</t>
  </si>
  <si>
    <t>Verify Expired leaves are present</t>
  </si>
  <si>
    <t>Expired leaves should be present</t>
  </si>
  <si>
    <t>Manage Pay Slip</t>
  </si>
  <si>
    <t>Generate pay slip with salary set for less than a month</t>
  </si>
  <si>
    <t>Pay Slip should generate with salary of less than a month</t>
  </si>
  <si>
    <t>Validation error appears stating: Please set salary first then Generate</t>
  </si>
  <si>
    <t>Apply attendance and verify new attendance details are present and added to salary in generated attendance pay slip pdf</t>
  </si>
  <si>
    <t>New attendance details should be present and added to the salary</t>
  </si>
  <si>
    <t>New attendance is added in the file but it's not added to the Salary</t>
  </si>
  <si>
    <t>Apply Paid Leave and verify paid leave details are added to salary in generated attendance pay slip pdf</t>
  </si>
  <si>
    <t>Correct Paid leave should be added to the salary in the PDF file</t>
  </si>
  <si>
    <t>Correct Paid leave details are present but it's not added to the total salary</t>
  </si>
  <si>
    <t>TC-18</t>
  </si>
  <si>
    <t>Apply Unpaid Leave and verify unpaid leave details are present and is NOT deducted to salary in generated attendance pay slip pdf</t>
  </si>
  <si>
    <t>Correct unpaid leave details should be present in the PDF file
Unpaid leave should not deduct or add to the salary</t>
  </si>
  <si>
    <t>Unpaid leaves are added to the paid leaves section in the downloaded pdf file.
Unpaid leaves show 0.
Unpaid leaves do not deducted from or add to salary as expected</t>
  </si>
  <si>
    <t>Apply Short Leave and verify short leave details are present in generated attendance pay slip pdf</t>
  </si>
  <si>
    <t>Correct short leave details should be present in the PDF file</t>
  </si>
  <si>
    <t>Short leave is applied for employee TestFirst TestLast on 20/04/2026 for 4 hours from 10AM to 2PM. But, 6 hours are added to the downloaded PDF file
Short leave is added to the paid leaves</t>
  </si>
  <si>
    <t>TC-20</t>
  </si>
  <si>
    <t>Apply Overtime and verify overtime details are present and added to salary in generated attendance pay slip pdf</t>
  </si>
  <si>
    <t>Correct Overtime details should be present in the PDF file
Correct Overtime should be added to the salary in the PDF file</t>
  </si>
  <si>
    <t>Overtime is shown as 0 in the downloaded PDF file
Overtime is not added to the salary</t>
  </si>
  <si>
    <t>TC-25</t>
  </si>
  <si>
    <t>Verify correct Overtime is present on manage Pay Slip page</t>
  </si>
  <si>
    <t>Employee's overtime hours should be displayed correctly</t>
  </si>
  <si>
    <t>Overtime hours are displayed as 0</t>
  </si>
  <si>
    <t>Verify correct Overtime details are present after clicking on view details button that appears after clicking on generate pay slip on Create Pay Slip page</t>
  </si>
  <si>
    <t>Correct Overtime details should be present on the View details page</t>
  </si>
  <si>
    <t>Verify correct Overtime amount is added to salary on View details page</t>
  </si>
  <si>
    <t>Correct Overtime amount should be added to salary on the View details page</t>
  </si>
  <si>
    <t>Add New Client with ABN number shorter than 11-digits</t>
  </si>
  <si>
    <t>Validation error should appear stating ABN cannot be shorter than 11-digits
Client should not get created</t>
  </si>
  <si>
    <t>Client gets created with short ABN number and no validaiton error appears</t>
  </si>
  <si>
    <t>Add New Client with ABN number longer than 11-digits</t>
  </si>
  <si>
    <t>Validation error should appear stating ABN cannot be longer than 11-digits
Client should not get created</t>
  </si>
  <si>
    <t>Client gets created with long ABN number and no validaiton error appears</t>
  </si>
  <si>
    <t>Add New Client with large resolution image as company logo</t>
  </si>
  <si>
    <t>Client should get created because image size is less than 5MB</t>
  </si>
  <si>
    <t>Client creation gets stuck on loading when create button is clicked.
Image is less than 5MB and client should get created</t>
  </si>
  <si>
    <t>Upload a large resolution image when adding document in client profile page</t>
  </si>
  <si>
    <t>Document should upload and document details should become visible on profile page successfully</t>
  </si>
  <si>
    <t>Adding Document gets stuck on loading when save button is clicked.
Image is less than 5MB and document should get added</t>
  </si>
  <si>
    <t>Verify type and size of file allowed to upload is mentioned when uploading document in client profile page</t>
  </si>
  <si>
    <t>Document file upload requirements should be mentioned</t>
  </si>
  <si>
    <t>No requriements are mentioned</t>
  </si>
  <si>
    <t>Verify download document button functionality on client profile page</t>
  </si>
  <si>
    <t>Document should get downloaded sucessfully</t>
  </si>
  <si>
    <t>Document image opens in new tab instead of downloading
Image can be saved/downloaded from new tab manually but it should download automaticlly after clicking download button</t>
  </si>
  <si>
    <t>Add New Subcontractor with Comapny number shorter than 9-digits</t>
  </si>
  <si>
    <t>Validation error should appear stating Company number cannot be shorter than 9-digits
Subcontractor should not get created</t>
  </si>
  <si>
    <t>No error appears
Subcontractor gets created</t>
  </si>
  <si>
    <t>Add New Subcontractor with Company number longer than 9-digits</t>
  </si>
  <si>
    <t>Validation error should appear stating Company number cannot be longer than 9-digits
Subcontractor should not get created</t>
  </si>
  <si>
    <t>Add New Subcontractor with large resolution image as company logo</t>
  </si>
  <si>
    <t>Subcontractor should get created because image size is less than 5MB</t>
  </si>
  <si>
    <t>subcontractor creation gets stuck on loading when create button is clicked.
Image is less than 5MB and subcontractor should get created</t>
  </si>
  <si>
    <t>Edit Subcontractor</t>
  </si>
  <si>
    <t>Edit Subcontractor with ABN shorter than 11-digits</t>
  </si>
  <si>
    <t>Validation error should appear stating ABN cannot be shorter than 11-digits
Subcontractor should not get updated</t>
  </si>
  <si>
    <t>No error appears
Subcontractor gets updated</t>
  </si>
  <si>
    <t>Edit Subcontractor with ABN longer than 11-digits</t>
  </si>
  <si>
    <t>Validation error should appear stating ABN cannot be longer than 11-digits
Client should not get updated</t>
  </si>
  <si>
    <t>Edit Subcontractor with Comapny number shorter than 9-digits</t>
  </si>
  <si>
    <t>Validation error should appear stating Company number cannot be shorter than 9-digits
Subcontractor should not get updated</t>
  </si>
  <si>
    <t>Edit Subcontractor with Company number longer than 9-digits</t>
  </si>
  <si>
    <t>Validation error should appear stating Company number cannot be longer than 9-digits
Subcontractor should not get updated</t>
  </si>
  <si>
    <t>View Subcontractor</t>
  </si>
  <si>
    <t>Assign project to subcontractor's employee and verify if changes takes place under Assigned projects tab for employees linked</t>
  </si>
  <si>
    <t>Employees linked number should change when project is assigned to the employee</t>
  </si>
  <si>
    <t>Employee linked column shows 0 for all projects</t>
  </si>
  <si>
    <t>Verfiy added employees are visible under Employees tab on VIew subcontractor details page</t>
  </si>
  <si>
    <t>Added Employee should be visible under Employees tab on View subcontractor details page</t>
  </si>
  <si>
    <t>Sites</t>
  </si>
  <si>
    <t>Verify Search Location functionality</t>
  </si>
  <si>
    <t>Search location should display successfully</t>
  </si>
  <si>
    <t>A box appears with Google's Logo stating: "This page can't load Google Maps correctly."</t>
  </si>
  <si>
    <t>Uploaded document at exactly 10MB limit</t>
  </si>
  <si>
    <t>Document should get uploaded successfully</t>
  </si>
  <si>
    <t>Validation error appears stating: File size must be less than 10MB
However, Upload requirement states Max 10MB upload is allowed</t>
  </si>
  <si>
    <t>Site Defects</t>
  </si>
  <si>
    <t>Verify created defect shows to subcontractor's employee</t>
  </si>
  <si>
    <t>Site Defect should be visible to the selected subcontractor's employee</t>
  </si>
  <si>
    <t>No site defects are visible to selected subcontracotrs employee</t>
  </si>
  <si>
    <t>Verify Subcontractor employees show based on selected project &amp; Site when creating defect in admin panel</t>
  </si>
  <si>
    <t>Employees should show based on all the selection made when creating defect</t>
  </si>
  <si>
    <t>Only one subcontractor employee.
Not all employee show</t>
  </si>
  <si>
    <t>Create site defect with same title</t>
  </si>
  <si>
    <t>Site defect with same title and details should not get created</t>
  </si>
  <si>
    <t>Defect with same title and details get created</t>
  </si>
  <si>
    <t>Create site defect by adding add multiple photos</t>
  </si>
  <si>
    <t>Defect should get created</t>
  </si>
  <si>
    <t>Create button gets stuck on loading after its clicked</t>
  </si>
  <si>
    <t>Create site defect by adding image type that's not allowed</t>
  </si>
  <si>
    <t>Image should not get uploaded
Validation error should appear for trying to upload wrong type of image</t>
  </si>
  <si>
    <t>Image with Webp extension gets uploaded even though this type is not allowed
When uploading any other type, error appears which that webp is allowed</t>
  </si>
  <si>
    <t>Verify correct Equipment history is present in Site Diaries section of both admin and subcontractors panel after Deleting equipment(s)</t>
  </si>
  <si>
    <t>Correct equipment history details should be present after deleting equiment</t>
  </si>
  <si>
    <t>Equiment history does not show deleted equipment history</t>
  </si>
  <si>
    <t>Manage Projects</t>
  </si>
  <si>
    <t>Verify search loaction functionality</t>
  </si>
  <si>
    <t>Correct Location should be visible after entering location name</t>
  </si>
  <si>
    <t>Google error appears: This page can't load Google Maps correctly.</t>
  </si>
  <si>
    <t>Add document by uploading large resolution image file</t>
  </si>
  <si>
    <t>Document Add button gets stuck on loading after clicking it</t>
  </si>
  <si>
    <t>Verify Download Document functionality on Add Project page</t>
  </si>
  <si>
    <t>Document should get downloaded successfully</t>
  </si>
  <si>
    <t>Instead of downloading, document file opens in new tab</t>
  </si>
  <si>
    <t>Incident Reports</t>
  </si>
  <si>
    <t>Verify uploading Video files on step 4 of incident report</t>
  </si>
  <si>
    <t>Video files should get uploaded</t>
  </si>
  <si>
    <t>Validation message shows "Evidence added successfully" and system moves to next step
When the back button is pressed to go back to step 4, file upload section shows the file which was uploaded before the video file</t>
  </si>
  <si>
    <t>View Incident</t>
  </si>
  <si>
    <t>Add a checklist with Inactive status</t>
  </si>
  <si>
    <t>An inactive checklist item should get created</t>
  </si>
  <si>
    <t>When creating the investigation checklist, Inactive status is not getting selected</t>
  </si>
  <si>
    <t>Verify Generate PDF functionality</t>
  </si>
  <si>
    <t>Incident Report PDf should get generated and downloaded</t>
  </si>
  <si>
    <t>After clicking Generate PDF button, system keeps loading
Sometimes error appears: "Something Went Wrong"</t>
  </si>
  <si>
    <t>Logs</t>
  </si>
  <si>
    <t>Search Logs with Reference Number</t>
  </si>
  <si>
    <t>Logs should get filtered based on entered Reference Number</t>
  </si>
  <si>
    <t>No logs show when reference number is entered
Placeholder is wrong.
This field works with Incident Report Number and Not with Reference number</t>
  </si>
  <si>
    <t>WHS Reports</t>
  </si>
  <si>
    <t>Verify On step 2 of adding WHS report, Finish time should not be before Start time</t>
  </si>
  <si>
    <t>Finish time should not be beofre start time</t>
  </si>
  <si>
    <t>System saves and moves to next step with finish time before start time</t>
  </si>
  <si>
    <t>Verify On step 2 of adding WHS report, Finish time should not be same as Start time</t>
  </si>
  <si>
    <t>Finish time should not be same as start time</t>
  </si>
  <si>
    <t>System saves and moves to next step with finish time same as start time</t>
  </si>
  <si>
    <t>On step 4 of adding WHS report, upload images with all the allowed formats</t>
  </si>
  <si>
    <t>Images with all the allowed formats should get uploading successfully</t>
  </si>
  <si>
    <t>Gif: System gets stuck on loading after 'Upload Image' button is clicked with a gif file
Webp: After clicking 'Upload Image' button with a WebP file, error appears which does not show WebP as allowed format. But image upload secction clearly mentions Webp as allowed format.
Error also mentions that SVG is allowed, but SVG is not mentioned in image upload section</t>
  </si>
  <si>
    <t>Verify Download button functionality</t>
  </si>
  <si>
    <t>Pdf should get downloaded after clicking Download button</t>
  </si>
  <si>
    <t>After clicking download button, instead of downloading, file opens in new tab</t>
  </si>
  <si>
    <t>SWMS Reports</t>
  </si>
  <si>
    <t>Inspection Plan</t>
  </si>
  <si>
    <t>Verify On step 1 of adding Inspection plan, revision date should not be before issue date</t>
  </si>
  <si>
    <t>Revision date should not be before issue date. It can only be same as or after issue date</t>
  </si>
  <si>
    <t>System saves and moves on to step2 with revision date earlier than issue date</t>
  </si>
  <si>
    <t>WHSEQ Reports</t>
  </si>
  <si>
    <t>Verify On step 1 of adding WHSEQ report, revision date should not be before issue date</t>
  </si>
  <si>
    <t>Quick Reports</t>
  </si>
  <si>
    <t>Verify Revision date cannot be earlier than Issue date when adding Quick Report</t>
  </si>
  <si>
    <t>Reports get created with revision date before issue date</t>
  </si>
  <si>
    <t>Manage Meetings</t>
  </si>
  <si>
    <t>Select Week days that do not fall between selected Start and End Dates</t>
  </si>
  <si>
    <t>Weekly Recurring meeting should NOT get created
Validation error should appear stating the selected weekdays don't match with the selected Start and End dates</t>
  </si>
  <si>
    <t>- Friday and Saturday were selcted as Week days for this test
- 28/04/2026 and 30/04/2026 were selected as Start and End Dates repectively for this test
Meeting gets created even though the selected week days do not fall between the selected Start and End Dates</t>
  </si>
  <si>
    <t>Search meeting attendance with Site</t>
  </si>
  <si>
    <t>Meeting attendance should show based on selected Site</t>
  </si>
  <si>
    <t>Search meeting attendance with Name</t>
  </si>
  <si>
    <t>Meeting attendance should show based on selected Meeting Name</t>
  </si>
  <si>
    <t>Search meeting attendance with From and To Date</t>
  </si>
  <si>
    <t>Meeting attendance should show based on selected To and From date</t>
  </si>
  <si>
    <t>Verify Attachment functionality with all mentioned file types individually</t>
  </si>
  <si>
    <t>Ticket should get created with all the mentioned file types</t>
  </si>
  <si>
    <t>Ticket gets created with JPG and PNG types
With Gif file type, System gets stuck on loading after pressing Save button. 
Sometimes error appears "Something Went Wrong"</t>
  </si>
  <si>
    <t>Create a ticket by uploading files with types that are not Mentioned in Attachment section</t>
  </si>
  <si>
    <t>Ticket should not get created
Files with types that are not mentioned should NOT get uploaded</t>
  </si>
  <si>
    <t>BMP and SVG file does not get uploaded as expected
WebP File gets uploaded and ticket gets created even though WebP is not mentioned in Attachment section
When uploading BMP or SVG file, an error appears which shows WebP is allowed</t>
  </si>
  <si>
    <t>Verify drag and drop feature in Attachment section</t>
  </si>
  <si>
    <t>File should uploaded using drag and drop feature</t>
  </si>
  <si>
    <t>Drop and drop does not work. File does not get uploaded</t>
  </si>
  <si>
    <t>Verify invoice creation email receives to client</t>
  </si>
  <si>
    <t>Client should receive the email successfully</t>
  </si>
  <si>
    <t>Verify Due date cannot be before Issue date when creating invoice</t>
  </si>
  <si>
    <t>Invoice should NOT get created with due date before issue date
Validation error should show stating due can be same as or after issue date</t>
  </si>
  <si>
    <t>Invoice gets created and no validation error appears</t>
  </si>
  <si>
    <t>Only PNG and JPG and are mentioned as allowed file type for Uploading Payment Proof file
Upload other file types as Payment Proof</t>
  </si>
  <si>
    <t>No file type other than JPG and PNG should get uploaded
Payment should not get submitted</t>
  </si>
  <si>
    <t>Payment gets submitted with these files
- BMP
- SVG
- Webp
System keeps loading with Gif file after submit payment button is clicked
PDF does not show for uplaoding as expected</t>
  </si>
  <si>
    <t>View Payment Proof file from the Payment History section</t>
  </si>
  <si>
    <t>Payment proof file should get open successfully</t>
  </si>
  <si>
    <t>File does not open. A page opens with error "404 file not found"</t>
  </si>
  <si>
    <t>Verify Send Invoice Functionality</t>
  </si>
  <si>
    <t>Invoice should get sent to client</t>
  </si>
  <si>
    <t>Assigned Projects Page</t>
  </si>
  <si>
    <t>Verify Induction documents status displays correctly under Assigned Projects tab in Subcontractors panel</t>
  </si>
  <si>
    <t>Induction documents status should display correctly as Completed/Pending</t>
  </si>
  <si>
    <t>After signing Induction documents, status changes to Approved
Status should change to Completed instead of Approved</t>
  </si>
  <si>
    <t>Verify Attached Site Document should show a pending signature status before sign</t>
  </si>
  <si>
    <t>Attached SIte Documents should show a pending status before signing</t>
  </si>
  <si>
    <t>Verify Sign is visible after signing the site document</t>
  </si>
  <si>
    <t>Document signature should be visible after document is signed</t>
  </si>
  <si>
    <t>Signature is not visible in the already signed site document</t>
  </si>
  <si>
    <t>Document should show a Signed/Completed status after it's signed</t>
  </si>
  <si>
    <t>Already signed document should show Singed/Completed status</t>
  </si>
  <si>
    <t>Docs</t>
  </si>
  <si>
    <t>Upload image with large resolution but within upload size</t>
  </si>
  <si>
    <t>Image with large resolution should upload successfully as it's within allowed size</t>
  </si>
  <si>
    <t>Save button gets stuck on loading</t>
  </si>
  <si>
    <t>Verify document status should show Inactive in doc section in subcontractors panel and subcontracotrs section in admin panel</t>
  </si>
  <si>
    <t>Inactive status should be visible with the document in subcontractors panel
Inactive status should be visible with the document when reviewing documents in subcontractors section in admin panel</t>
  </si>
  <si>
    <t>Document does become inactive but inactive status is not visible with the document</t>
  </si>
  <si>
    <t xml:space="preserve">Verify inactive document cannot be approved in subcontracotrs section in admin panel.
</t>
  </si>
  <si>
    <t>Documents cannot be approved once they are inactive</t>
  </si>
  <si>
    <t>1- Inactive document can still be approved when reviewing document in the subcontractors section in admin panel.
2- Inactive document can also be selected from 'select all documents' option.
3- After approving, inactive documents status also changes to approved in both admin panel and subcontractors panel
All of the above mentioned points are unexpected results and should not happen 
What should happen:
1- Inactive document must not be able to get selected and/or approve
2- document status must not change to approve</t>
  </si>
  <si>
    <t>Verify status description displays correct information</t>
  </si>
  <si>
    <t>Status description should display correct information</t>
  </si>
  <si>
    <t>After approving document status description changes to approve as expected
But, after changing document details the status description still displays approved instead of pending</t>
  </si>
  <si>
    <t>Verify file upload type and size requirements are mentioned in citizenship status section when Visa Holder option is selected</t>
  </si>
  <si>
    <t>File upload requirements should be mentioned</t>
  </si>
  <si>
    <t>No requirements are mentioned.
After uploading a wrong file type a validation error shows which type of files are allowed.
File upload size is never mentioned</t>
  </si>
  <si>
    <t>Verify uploading large size visa image in citizenship status section</t>
  </si>
  <si>
    <t>image should upload and member should get added to the system successfully</t>
  </si>
  <si>
    <t>System keeps loading after save button is clicked with large resolution image</t>
  </si>
  <si>
    <t>Upload a medical file image with high resolution in the medical profile section</t>
  </si>
  <si>
    <t>Image file should upload and member should get added successfully</t>
  </si>
  <si>
    <t>System gets stuck on loading after clicking save</t>
  </si>
  <si>
    <t>Upload a PDF medical file within 10MB upload limit in the medical profile section</t>
  </si>
  <si>
    <t>PDF file should upload and member should get added successfully</t>
  </si>
  <si>
    <t>Error appears: Something went wrong</t>
  </si>
  <si>
    <t>Upload multiple pdf files each within 10MB upload limit</t>
  </si>
  <si>
    <t>All file should get uploaded successfully</t>
  </si>
  <si>
    <t>System gets stuck on loading after clicking save
No validation error is shown</t>
  </si>
  <si>
    <t>Upload both image and pdf files together all within 10MB upload limit</t>
  </si>
  <si>
    <t>Upload files using drag and drop feature</t>
  </si>
  <si>
    <t>Drag-and-drop area does not even highlight when hovering with a file
File does not get uploading with drag and drop feature</t>
  </si>
  <si>
    <t>Upload exactly 10MB file</t>
  </si>
  <si>
    <t>File should get uploaded successfully</t>
  </si>
  <si>
    <t>Upload maximum allowed number of files</t>
  </si>
  <si>
    <t>Number of uploaded files should not exceed set limit
Validation error should appear when trying to upload more file than set limit</t>
  </si>
  <si>
    <t>No set limit is written anywhere
Max file upload limit appears to be 4.
When uploading more than 4 files, previously uploaded files get replaced.
No validation error appears</t>
  </si>
  <si>
    <t>Edit Member</t>
  </si>
  <si>
    <t>Verify correct and all details are present on Edit member page</t>
  </si>
  <si>
    <t>Correct and complete details should be present on edit page</t>
  </si>
  <si>
    <t>At first when edit button is clicked, all info is present.
After clicking update and entering edit page again, the profile image is not present.
Edit Page can be saved with no Profile image even though profile image is required</t>
  </si>
  <si>
    <t>View Member</t>
  </si>
  <si>
    <t>TC-29</t>
  </si>
  <si>
    <t>Verify correct information is present under Required Documents tab on View member details page</t>
  </si>
  <si>
    <t>Correct Document details should be present under Required documents tab</t>
  </si>
  <si>
    <t>No Required documents are visible to subcontractor's employee</t>
  </si>
  <si>
    <t>Verify correct information is present under Induction tab on View member details page</t>
  </si>
  <si>
    <t>Correct Document details should be present under Induction tab</t>
  </si>
  <si>
    <t>No Induction documents are visible to subcontractor's employee</t>
  </si>
  <si>
    <t>Verify correct information is present under Defects tab on View member details page</t>
  </si>
  <si>
    <t>Correct Defect details should be present under Defects tab</t>
  </si>
  <si>
    <t>No Defects are visible to subcontractor's employee</t>
  </si>
  <si>
    <t>Verify assign to employee button functionality on Subcontractor Defect Manager page</t>
  </si>
  <si>
    <t>Defect should get assigned to employee successfully</t>
  </si>
  <si>
    <t>No employee show when assigning defect to employee</t>
  </si>
  <si>
    <t>My Quote</t>
  </si>
  <si>
    <t>Attach document with all the allowed file types under My Quote tab on View Tender page</t>
  </si>
  <si>
    <t>All the allowed file types can be uploaded</t>
  </si>
  <si>
    <t xml:space="preserve"> </t>
  </si>
  <si>
    <t>Upload Avatar image from edit profile section</t>
  </si>
  <si>
    <t>Profile avatar image should get changed successfully
Avatar image should display on the profile page and with subcontractor's name dropdown menu on the top right corner</t>
  </si>
  <si>
    <t>With JPG and PNG, image only changes and shows with subcontractor name dropdown menu on the top right corner of screen
Image does not change on the profile page
With Gif file, error appears "Something Went Wrong"</t>
  </si>
  <si>
    <t>Verify Company #1 provided documents don't show to same subcontractor when logged into Company #2 panel
*Note: Company #1 and Company #2 refer to two comapnies that the subcontractor is part of for testing the system</t>
  </si>
  <si>
    <t>One company's Required and Induction documents should not be visible in other company's both admin and subcontractor panel</t>
  </si>
  <si>
    <t>In company#2 admin panel, when viewing subcontractor's details both required and induction documents of company#1 does not show as expected
When subcontractor panel is logged in with company#2 provided credentials, Required and Induction documents from company#1 are present in 'Assigned Projects' section. 
This is unexpected and should not happen</t>
  </si>
  <si>
    <t>Verify Company #1 Assigned Projects don't show to same subcontractor when logged into Company #2 panel
*Note: Company #1 and Company #2 refer to two comapnies that the subcontractor is part of for testing the system</t>
  </si>
  <si>
    <t>One company's Assigned Projects should not be visible in other company's both admin and subcontractor panel</t>
  </si>
  <si>
    <t>In the subcontractor panel of company#2, all the project of company#1 are present</t>
  </si>
  <si>
    <t>Verify Company #1 Defects don't show to same subcontractor when logged into Company #2 panel
*Note: Company #1 and Company #2 refer to two comapnies that the subcontractor is part of for testing the system</t>
  </si>
  <si>
    <t>One company's Defects should not be visible in other company's both admin and subcontractor panel</t>
  </si>
  <si>
    <t>In the subcontractor panel of company#2, all the Defects of company#1 are present</t>
  </si>
  <si>
    <t>Status</t>
  </si>
  <si>
    <t>Upload a medical file image above 10MB limit in the medical profile section</t>
  </si>
  <si>
    <t>Upload a PDF medical file above 10MB limit in the medical profile section</t>
  </si>
  <si>
    <t>Upload multiple files with one file above 10MB upload limit</t>
  </si>
  <si>
    <t>TC-23</t>
  </si>
  <si>
    <t>Upload duplicate files</t>
  </si>
  <si>
    <t>System gets stuck on loading after clicking save
Sometimes error appears: Something went wrong</t>
  </si>
  <si>
    <t>Upload the same files in attach document section under My Quote tab on View Tender page</t>
  </si>
  <si>
    <t xml:space="preserve">           </t>
  </si>
  <si>
    <t>Upload file above 10MB limit in attach document section under My Quote tab on View Tender page</t>
  </si>
  <si>
    <t>Upload files with one file above 10MB limit in attach document section under My Quote tab on View Tender page</t>
  </si>
  <si>
    <t>Upload a fille with exactly 10MB size in attach document section under My Quote tab on View Tender page</t>
  </si>
  <si>
    <t>Verify Add Invoice Functionality</t>
  </si>
  <si>
    <t>No Employees show under any project on invoice creation page.
Invoice cannot be created without employee details</t>
  </si>
  <si>
    <t>Verify Company receives the invoice creation email</t>
  </si>
  <si>
    <t>Verify invoice shows to Company in Company's Admin panel</t>
  </si>
  <si>
    <t>Verify view invoice details functionality</t>
  </si>
  <si>
    <t>Verify Generate PDF and Download functionality</t>
  </si>
  <si>
    <t>Verify if correct invoice details and payment status are present in downloaded invoice PDF</t>
  </si>
  <si>
    <t>Change subcontractor status to inactive from company#1 and verify that company's details don't show to subcontractor
Subcontractor panel should be logged into with company#2 credentials
*Note: Company #1 and Company #2 refer to two comapnies that the subcontractor is part of for testing the system</t>
  </si>
  <si>
    <t>Discussion going on</t>
  </si>
  <si>
    <t>1- Add subcontractor employees in two companies and verify both companies can only see the subcontractor employees associated with them
2- Assign projects to subcontractor's employee from two companies and that employee's details are present in the company's admin panel
*Note: Company #1 and Company #2 refer to two comapnies that the subcontractor is part of for testing the system</t>
  </si>
  <si>
    <t>same employee can work with more than one subcontractor
Employee can see both subcontractors details and document, etc</t>
  </si>
  <si>
    <t>Verify one employee cannot be assigned projects from two different companies</t>
  </si>
  <si>
    <t>Projects from all companies can be assigned to the subcontractor's employees
Is it working as intended?</t>
  </si>
  <si>
    <t>Verify Company #1 Tenders don't show to same subcontractor when logged into Company #2 panel
*Note: Company #1 and Company #2 refer to two comapnies that the subcontractor is part of for testing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</si>
</sst>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4"/>
      <color rgb="FF1F4E78"/>
      <name val="Arial"/>
    </font>
    <font>
      <b/>
      <sz val="10"/>
      <color rgb="FFFFFFFF"/>
      <name val="Arial"/>
    </font>
    <font>
      <b/>
      <sz val="10"/>
      <name val="Arial"/>
    </font>
    <font>
      <b/>
      <sz val="12"/>
      <color rgb="FF1F4E78"/>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center" wrapText="1"/>
    </xf>
    <xf numFmtId="0" fontId="0" fillId="0" borderId="1" xfId="0" applyBorder="1"/>
    <xf numFmtId="164" fontId="0" fillId="0" borderId="1" xfId="0" applyNumberFormat="1" applyBorder="1"/>
    <xf numFmtId="0" fontId="3" fillId="0" borderId="0" xfId="0" applyFont="1"/>
    <xf numFmtId="164" fontId="3" fillId="0" borderId="0" xfId="0" applyNumberFormat="1" applyFont="1"/>
    <xf numFmtId="0" fontId="4" fillId="0" borderId="0" xfId="0" applyFont="1"/>
    <xf numFmtId="0" fontId="1" fillId="0" borderId="0" xfId="0" applyFont="1"/>
    <xf numFmtId="0" fontId="0" fillId="0" borderId="0" xfId="0"/>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Test Case Status Distribution</a:t>
            </a:r>
          </a:p>
        </c:rich>
      </c:tx>
      <c:overlay val="1"/>
    </c:title>
    <c:autoTitleDeleted val="0"/>
    <c:plotArea>
      <c:layout/>
      <c:pieChart>
        <c:varyColors val="1"/>
        <c:ser>
          <c:idx val="0"/>
          <c:order val="0"/>
          <c:spPr>
            <a:ln>
              <a:prstDash val="solid"/>
            </a:ln>
          </c:spPr>
          <c:explosion val="10"/>
          <c:cat>
            <c:strRef>
              <c:f>Summary!$A$5:$A$8</c:f>
              <c:strCache>
                <c:ptCount val="4"/>
                <c:pt idx="0">
                  <c:v>Pass</c:v>
                </c:pt>
                <c:pt idx="1">
                  <c:v>Fail</c:v>
                </c:pt>
                <c:pt idx="2">
                  <c:v>Pending</c:v>
                </c:pt>
                <c:pt idx="3">
                  <c:v>Blocked</c:v>
                </c:pt>
              </c:strCache>
            </c:strRef>
          </c:cat>
          <c:val>
            <c:numRef>
              <c:f>Summary!$B$5:$B$8</c:f>
              <c:numCache>
                <c:formatCode>General</c:formatCode>
                <c:ptCount val="4"/>
                <c:pt idx="0">
                  <c:v>803</c:v>
                </c:pt>
                <c:pt idx="1">
                  <c:v>159</c:v>
                </c:pt>
                <c:pt idx="2">
                  <c:v>5</c:v>
                </c:pt>
                <c:pt idx="3">
                  <c:v>15</c:v>
                </c:pt>
              </c:numCache>
            </c:numRef>
          </c:val>
          <c:extLst>
            <c:ext xmlns:c16="http://schemas.microsoft.com/office/drawing/2014/chart" uri="{C3380CC4-5D6E-409C-BE32-E72D297353CC}">
              <c16:uniqueId val="{00000000-CCA5-4EC3-880D-728CF4727218}"/>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Panel-wise Test Case Status</a:t>
            </a:r>
          </a:p>
        </c:rich>
      </c:tx>
      <c:overlay val="1"/>
    </c:title>
    <c:autoTitleDeleted val="0"/>
    <c:plotArea>
      <c:layout/>
      <c:barChart>
        <c:barDir val="col"/>
        <c:grouping val="clustered"/>
        <c:varyColors val="1"/>
        <c:ser>
          <c:idx val="0"/>
          <c:order val="0"/>
          <c:tx>
            <c:strRef>
              <c:f>Summary!$C$12</c:f>
              <c:strCache>
                <c:ptCount val="1"/>
                <c:pt idx="0">
                  <c:v>Pass</c:v>
                </c:pt>
              </c:strCache>
            </c:strRef>
          </c:tx>
          <c:spPr>
            <a:ln>
              <a:prstDash val="solid"/>
            </a:ln>
          </c:spPr>
          <c:invertIfNegative val="1"/>
          <c:cat>
            <c:strRef>
              <c:f>Summary!$A$13:$A$14</c:f>
              <c:strCache>
                <c:ptCount val="2"/>
                <c:pt idx="0">
                  <c:v>Admin Panel</c:v>
                </c:pt>
                <c:pt idx="1">
                  <c:v>Subcontractor Panel</c:v>
                </c:pt>
              </c:strCache>
            </c:strRef>
          </c:cat>
          <c:val>
            <c:numRef>
              <c:f>Summary!$C$13:$C$14</c:f>
              <c:numCache>
                <c:formatCode>General</c:formatCode>
                <c:ptCount val="2"/>
                <c:pt idx="0">
                  <c:v>682</c:v>
                </c:pt>
                <c:pt idx="1">
                  <c:v>121</c:v>
                </c:pt>
              </c:numCache>
            </c:numRef>
          </c:val>
          <c:extLst>
            <c:ext xmlns:c16="http://schemas.microsoft.com/office/drawing/2014/chart" uri="{C3380CC4-5D6E-409C-BE32-E72D297353CC}">
              <c16:uniqueId val="{00000000-319A-4F94-B29D-2A3D193225BD}"/>
            </c:ext>
          </c:extLst>
        </c:ser>
        <c:ser>
          <c:idx val="1"/>
          <c:order val="1"/>
          <c:tx>
            <c:strRef>
              <c:f>Summary!$D$12</c:f>
              <c:strCache>
                <c:ptCount val="1"/>
                <c:pt idx="0">
                  <c:v>Fail</c:v>
                </c:pt>
              </c:strCache>
            </c:strRef>
          </c:tx>
          <c:spPr>
            <a:ln>
              <a:prstDash val="solid"/>
            </a:ln>
          </c:spPr>
          <c:invertIfNegative val="1"/>
          <c:cat>
            <c:strRef>
              <c:f>Summary!$A$13:$A$14</c:f>
              <c:strCache>
                <c:ptCount val="2"/>
                <c:pt idx="0">
                  <c:v>Admin Panel</c:v>
                </c:pt>
                <c:pt idx="1">
                  <c:v>Subcontractor Panel</c:v>
                </c:pt>
              </c:strCache>
            </c:strRef>
          </c:cat>
          <c:val>
            <c:numRef>
              <c:f>Summary!$D$13:$D$14</c:f>
              <c:numCache>
                <c:formatCode>General</c:formatCode>
                <c:ptCount val="2"/>
                <c:pt idx="0">
                  <c:v>132</c:v>
                </c:pt>
                <c:pt idx="1">
                  <c:v>27</c:v>
                </c:pt>
              </c:numCache>
            </c:numRef>
          </c:val>
          <c:extLst>
            <c:ext xmlns:c16="http://schemas.microsoft.com/office/drawing/2014/chart" uri="{C3380CC4-5D6E-409C-BE32-E72D297353CC}">
              <c16:uniqueId val="{00000001-319A-4F94-B29D-2A3D193225B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Test Cases by Priority (Pass vs Fail)</a:t>
            </a:r>
          </a:p>
        </c:rich>
      </c:tx>
      <c:overlay val="1"/>
    </c:title>
    <c:autoTitleDeleted val="0"/>
    <c:plotArea>
      <c:layout/>
      <c:barChart>
        <c:barDir val="col"/>
        <c:grouping val="clustered"/>
        <c:varyColors val="1"/>
        <c:ser>
          <c:idx val="0"/>
          <c:order val="0"/>
          <c:tx>
            <c:strRef>
              <c:f>Summary!$C$17</c:f>
              <c:strCache>
                <c:ptCount val="1"/>
                <c:pt idx="0">
                  <c:v>Pass</c:v>
                </c:pt>
              </c:strCache>
            </c:strRef>
          </c:tx>
          <c:spPr>
            <a:ln>
              <a:prstDash val="solid"/>
            </a:ln>
          </c:spPr>
          <c:invertIfNegative val="1"/>
          <c:cat>
            <c:strRef>
              <c:f>Summary!$A$18:$A$20</c:f>
              <c:strCache>
                <c:ptCount val="3"/>
                <c:pt idx="0">
                  <c:v>High</c:v>
                </c:pt>
                <c:pt idx="1">
                  <c:v>Medium</c:v>
                </c:pt>
                <c:pt idx="2">
                  <c:v>Low</c:v>
                </c:pt>
              </c:strCache>
            </c:strRef>
          </c:cat>
          <c:val>
            <c:numRef>
              <c:f>Summary!$C$18:$C$20</c:f>
              <c:numCache>
                <c:formatCode>General</c:formatCode>
                <c:ptCount val="3"/>
                <c:pt idx="0">
                  <c:v>676</c:v>
                </c:pt>
                <c:pt idx="1">
                  <c:v>119</c:v>
                </c:pt>
                <c:pt idx="2">
                  <c:v>8</c:v>
                </c:pt>
              </c:numCache>
            </c:numRef>
          </c:val>
          <c:extLst>
            <c:ext xmlns:c16="http://schemas.microsoft.com/office/drawing/2014/chart" uri="{C3380CC4-5D6E-409C-BE32-E72D297353CC}">
              <c16:uniqueId val="{00000000-2024-46CF-86D7-A0606396EEB9}"/>
            </c:ext>
          </c:extLst>
        </c:ser>
        <c:ser>
          <c:idx val="1"/>
          <c:order val="1"/>
          <c:tx>
            <c:strRef>
              <c:f>Summary!$D$17</c:f>
              <c:strCache>
                <c:ptCount val="1"/>
                <c:pt idx="0">
                  <c:v>Fail</c:v>
                </c:pt>
              </c:strCache>
            </c:strRef>
          </c:tx>
          <c:spPr>
            <a:ln>
              <a:prstDash val="solid"/>
            </a:ln>
          </c:spPr>
          <c:invertIfNegative val="1"/>
          <c:cat>
            <c:strRef>
              <c:f>Summary!$A$18:$A$20</c:f>
              <c:strCache>
                <c:ptCount val="3"/>
                <c:pt idx="0">
                  <c:v>High</c:v>
                </c:pt>
                <c:pt idx="1">
                  <c:v>Medium</c:v>
                </c:pt>
                <c:pt idx="2">
                  <c:v>Low</c:v>
                </c:pt>
              </c:strCache>
            </c:strRef>
          </c:cat>
          <c:val>
            <c:numRef>
              <c:f>Summary!$D$18:$D$20</c:f>
              <c:numCache>
                <c:formatCode>General</c:formatCode>
                <c:ptCount val="3"/>
                <c:pt idx="0">
                  <c:v>131</c:v>
                </c:pt>
                <c:pt idx="1">
                  <c:v>27</c:v>
                </c:pt>
                <c:pt idx="2">
                  <c:v>1</c:v>
                </c:pt>
              </c:numCache>
            </c:numRef>
          </c:val>
          <c:extLst>
            <c:ext xmlns:c16="http://schemas.microsoft.com/office/drawing/2014/chart" uri="{C3380CC4-5D6E-409C-BE32-E72D297353CC}">
              <c16:uniqueId val="{00000001-2024-46CF-86D7-A0606396EEB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Module-wise Test Case Status</a:t>
            </a:r>
          </a:p>
        </c:rich>
      </c:tx>
      <c:overlay val="1"/>
    </c:title>
    <c:autoTitleDeleted val="0"/>
    <c:plotArea>
      <c:layout/>
      <c:barChart>
        <c:barDir val="col"/>
        <c:grouping val="stacked"/>
        <c:varyColors val="1"/>
        <c:ser>
          <c:idx val="0"/>
          <c:order val="0"/>
          <c:tx>
            <c:strRef>
              <c:f>'Module-wise Metrics'!$D$1</c:f>
              <c:strCache>
                <c:ptCount val="1"/>
                <c:pt idx="0">
                  <c:v>Pass</c:v>
                </c:pt>
              </c:strCache>
            </c:strRef>
          </c:tx>
          <c:spPr>
            <a:ln>
              <a:prstDash val="solid"/>
            </a:ln>
          </c:spPr>
          <c:invertIfNegative val="1"/>
          <c:cat>
            <c:strRef>
              <c:f>'Module-wise Metrics'!$B$2:$B$29</c:f>
              <c:strCache>
                <c:ptCount val="28"/>
                <c:pt idx="0">
                  <c:v>Login</c:v>
                </c:pt>
                <c:pt idx="1">
                  <c:v>Employees-Add Employee</c:v>
                </c:pt>
                <c:pt idx="2">
                  <c:v>Employees-Self Onboarding</c:v>
                </c:pt>
                <c:pt idx="3">
                  <c:v>Employees-Settings</c:v>
                </c:pt>
                <c:pt idx="4">
                  <c:v>HRM-Required Documents</c:v>
                </c:pt>
                <c:pt idx="5">
                  <c:v>HRM-Induction</c:v>
                </c:pt>
                <c:pt idx="6">
                  <c:v>HRM-Roster</c:v>
                </c:pt>
                <c:pt idx="7">
                  <c:v>HRM-Attendance</c:v>
                </c:pt>
                <c:pt idx="8">
                  <c:v>Leave Management</c:v>
                </c:pt>
                <c:pt idx="9">
                  <c:v>Payroll</c:v>
                </c:pt>
                <c:pt idx="10">
                  <c:v>Super Funds</c:v>
                </c:pt>
                <c:pt idx="11">
                  <c:v>WMS-Clients</c:v>
                </c:pt>
                <c:pt idx="12">
                  <c:v>Subcontractors</c:v>
                </c:pt>
                <c:pt idx="13">
                  <c:v>Sites &amp; Projects</c:v>
                </c:pt>
                <c:pt idx="14">
                  <c:v>Safety &amp; Compliance</c:v>
                </c:pt>
                <c:pt idx="15">
                  <c:v>Toolbox &amp; Pre-Start Meetings</c:v>
                </c:pt>
                <c:pt idx="16">
                  <c:v>Assets Management</c:v>
                </c:pt>
                <c:pt idx="17">
                  <c:v>Help Desk</c:v>
                </c:pt>
                <c:pt idx="18">
                  <c:v>Invoices</c:v>
                </c:pt>
                <c:pt idx="19">
                  <c:v>Assigned Projects</c:v>
                </c:pt>
                <c:pt idx="20">
                  <c:v>My Team</c:v>
                </c:pt>
                <c:pt idx="21">
                  <c:v>Site defects</c:v>
                </c:pt>
                <c:pt idx="22">
                  <c:v>Site Diaries</c:v>
                </c:pt>
                <c:pt idx="23">
                  <c:v>Project Tasks</c:v>
                </c:pt>
                <c:pt idx="24">
                  <c:v>Tenders &amp; Bids</c:v>
                </c:pt>
                <c:pt idx="25">
                  <c:v>Invoices</c:v>
                </c:pt>
                <c:pt idx="26">
                  <c:v>Profile</c:v>
                </c:pt>
                <c:pt idx="27">
                  <c:v>Additional Functionality</c:v>
                </c:pt>
              </c:strCache>
            </c:strRef>
          </c:cat>
          <c:val>
            <c:numRef>
              <c:f>'Module-wise Metrics'!$D$2:$D$29</c:f>
              <c:numCache>
                <c:formatCode>General</c:formatCode>
                <c:ptCount val="28"/>
                <c:pt idx="0">
                  <c:v>35</c:v>
                </c:pt>
                <c:pt idx="1">
                  <c:v>67</c:v>
                </c:pt>
                <c:pt idx="2">
                  <c:v>45</c:v>
                </c:pt>
                <c:pt idx="3">
                  <c:v>13</c:v>
                </c:pt>
                <c:pt idx="4">
                  <c:v>21</c:v>
                </c:pt>
                <c:pt idx="5">
                  <c:v>20</c:v>
                </c:pt>
                <c:pt idx="6">
                  <c:v>35</c:v>
                </c:pt>
                <c:pt idx="7">
                  <c:v>48</c:v>
                </c:pt>
                <c:pt idx="8">
                  <c:v>40</c:v>
                </c:pt>
                <c:pt idx="9">
                  <c:v>63</c:v>
                </c:pt>
                <c:pt idx="10">
                  <c:v>11</c:v>
                </c:pt>
                <c:pt idx="11">
                  <c:v>11</c:v>
                </c:pt>
                <c:pt idx="12">
                  <c:v>44</c:v>
                </c:pt>
                <c:pt idx="13">
                  <c:v>92</c:v>
                </c:pt>
                <c:pt idx="14">
                  <c:v>93</c:v>
                </c:pt>
                <c:pt idx="15">
                  <c:v>17</c:v>
                </c:pt>
                <c:pt idx="16">
                  <c:v>3</c:v>
                </c:pt>
                <c:pt idx="17">
                  <c:v>10</c:v>
                </c:pt>
                <c:pt idx="18">
                  <c:v>14</c:v>
                </c:pt>
                <c:pt idx="19">
                  <c:v>43</c:v>
                </c:pt>
                <c:pt idx="20">
                  <c:v>21</c:v>
                </c:pt>
                <c:pt idx="21">
                  <c:v>14</c:v>
                </c:pt>
                <c:pt idx="22">
                  <c:v>7</c:v>
                </c:pt>
                <c:pt idx="23">
                  <c:v>11</c:v>
                </c:pt>
                <c:pt idx="24">
                  <c:v>14</c:v>
                </c:pt>
                <c:pt idx="25">
                  <c:v>0</c:v>
                </c:pt>
                <c:pt idx="26">
                  <c:v>4</c:v>
                </c:pt>
                <c:pt idx="27">
                  <c:v>7</c:v>
                </c:pt>
              </c:numCache>
            </c:numRef>
          </c:val>
          <c:extLst>
            <c:ext xmlns:c16="http://schemas.microsoft.com/office/drawing/2014/chart" uri="{C3380CC4-5D6E-409C-BE32-E72D297353CC}">
              <c16:uniqueId val="{00000000-7BE5-4AB0-A4DD-8D3B0A05859B}"/>
            </c:ext>
          </c:extLst>
        </c:ser>
        <c:ser>
          <c:idx val="1"/>
          <c:order val="1"/>
          <c:tx>
            <c:strRef>
              <c:f>'Module-wise Metrics'!$E$1</c:f>
              <c:strCache>
                <c:ptCount val="1"/>
                <c:pt idx="0">
                  <c:v>Fail</c:v>
                </c:pt>
              </c:strCache>
            </c:strRef>
          </c:tx>
          <c:spPr>
            <a:ln>
              <a:prstDash val="solid"/>
            </a:ln>
          </c:spPr>
          <c:invertIfNegative val="1"/>
          <c:cat>
            <c:strRef>
              <c:f>'Module-wise Metrics'!$B$2:$B$29</c:f>
              <c:strCache>
                <c:ptCount val="28"/>
                <c:pt idx="0">
                  <c:v>Login</c:v>
                </c:pt>
                <c:pt idx="1">
                  <c:v>Employees-Add Employee</c:v>
                </c:pt>
                <c:pt idx="2">
                  <c:v>Employees-Self Onboarding</c:v>
                </c:pt>
                <c:pt idx="3">
                  <c:v>Employees-Settings</c:v>
                </c:pt>
                <c:pt idx="4">
                  <c:v>HRM-Required Documents</c:v>
                </c:pt>
                <c:pt idx="5">
                  <c:v>HRM-Induction</c:v>
                </c:pt>
                <c:pt idx="6">
                  <c:v>HRM-Roster</c:v>
                </c:pt>
                <c:pt idx="7">
                  <c:v>HRM-Attendance</c:v>
                </c:pt>
                <c:pt idx="8">
                  <c:v>Leave Management</c:v>
                </c:pt>
                <c:pt idx="9">
                  <c:v>Payroll</c:v>
                </c:pt>
                <c:pt idx="10">
                  <c:v>Super Funds</c:v>
                </c:pt>
                <c:pt idx="11">
                  <c:v>WMS-Clients</c:v>
                </c:pt>
                <c:pt idx="12">
                  <c:v>Subcontractors</c:v>
                </c:pt>
                <c:pt idx="13">
                  <c:v>Sites &amp; Projects</c:v>
                </c:pt>
                <c:pt idx="14">
                  <c:v>Safety &amp; Compliance</c:v>
                </c:pt>
                <c:pt idx="15">
                  <c:v>Toolbox &amp; Pre-Start Meetings</c:v>
                </c:pt>
                <c:pt idx="16">
                  <c:v>Assets Management</c:v>
                </c:pt>
                <c:pt idx="17">
                  <c:v>Help Desk</c:v>
                </c:pt>
                <c:pt idx="18">
                  <c:v>Invoices</c:v>
                </c:pt>
                <c:pt idx="19">
                  <c:v>Assigned Projects</c:v>
                </c:pt>
                <c:pt idx="20">
                  <c:v>My Team</c:v>
                </c:pt>
                <c:pt idx="21">
                  <c:v>Site defects</c:v>
                </c:pt>
                <c:pt idx="22">
                  <c:v>Site Diaries</c:v>
                </c:pt>
                <c:pt idx="23">
                  <c:v>Project Tasks</c:v>
                </c:pt>
                <c:pt idx="24">
                  <c:v>Tenders &amp; Bids</c:v>
                </c:pt>
                <c:pt idx="25">
                  <c:v>Invoices</c:v>
                </c:pt>
                <c:pt idx="26">
                  <c:v>Profile</c:v>
                </c:pt>
                <c:pt idx="27">
                  <c:v>Additional Functionality</c:v>
                </c:pt>
              </c:strCache>
            </c:strRef>
          </c:cat>
          <c:val>
            <c:numRef>
              <c:f>'Module-wise Metrics'!$E$2:$E$29</c:f>
              <c:numCache>
                <c:formatCode>General</c:formatCode>
                <c:ptCount val="28"/>
                <c:pt idx="0">
                  <c:v>1</c:v>
                </c:pt>
                <c:pt idx="1">
                  <c:v>20</c:v>
                </c:pt>
                <c:pt idx="2">
                  <c:v>7</c:v>
                </c:pt>
                <c:pt idx="3">
                  <c:v>0</c:v>
                </c:pt>
                <c:pt idx="4">
                  <c:v>0</c:v>
                </c:pt>
                <c:pt idx="5">
                  <c:v>4</c:v>
                </c:pt>
                <c:pt idx="6">
                  <c:v>10</c:v>
                </c:pt>
                <c:pt idx="7">
                  <c:v>15</c:v>
                </c:pt>
                <c:pt idx="8">
                  <c:v>14</c:v>
                </c:pt>
                <c:pt idx="9">
                  <c:v>9</c:v>
                </c:pt>
                <c:pt idx="10">
                  <c:v>0</c:v>
                </c:pt>
                <c:pt idx="11">
                  <c:v>6</c:v>
                </c:pt>
                <c:pt idx="12">
                  <c:v>9</c:v>
                </c:pt>
                <c:pt idx="13">
                  <c:v>11</c:v>
                </c:pt>
                <c:pt idx="14">
                  <c:v>14</c:v>
                </c:pt>
                <c:pt idx="15">
                  <c:v>4</c:v>
                </c:pt>
                <c:pt idx="16">
                  <c:v>0</c:v>
                </c:pt>
                <c:pt idx="17">
                  <c:v>3</c:v>
                </c:pt>
                <c:pt idx="18">
                  <c:v>5</c:v>
                </c:pt>
                <c:pt idx="19">
                  <c:v>8</c:v>
                </c:pt>
                <c:pt idx="20">
                  <c:v>13</c:v>
                </c:pt>
                <c:pt idx="21">
                  <c:v>1</c:v>
                </c:pt>
                <c:pt idx="22">
                  <c:v>0</c:v>
                </c:pt>
                <c:pt idx="23">
                  <c:v>0</c:v>
                </c:pt>
                <c:pt idx="24">
                  <c:v>1</c:v>
                </c:pt>
                <c:pt idx="25">
                  <c:v>0</c:v>
                </c:pt>
                <c:pt idx="26">
                  <c:v>1</c:v>
                </c:pt>
                <c:pt idx="27">
                  <c:v>3</c:v>
                </c:pt>
              </c:numCache>
            </c:numRef>
          </c:val>
          <c:extLst>
            <c:ext xmlns:c16="http://schemas.microsoft.com/office/drawing/2014/chart" uri="{C3380CC4-5D6E-409C-BE32-E72D297353CC}">
              <c16:uniqueId val="{00000001-7BE5-4AB0-A4DD-8D3B0A05859B}"/>
            </c:ext>
          </c:extLst>
        </c:ser>
        <c:ser>
          <c:idx val="2"/>
          <c:order val="2"/>
          <c:tx>
            <c:strRef>
              <c:f>'Module-wise Metrics'!$F$1</c:f>
              <c:strCache>
                <c:ptCount val="1"/>
                <c:pt idx="0">
                  <c:v>Blocked</c:v>
                </c:pt>
              </c:strCache>
            </c:strRef>
          </c:tx>
          <c:spPr>
            <a:ln>
              <a:prstDash val="solid"/>
            </a:ln>
          </c:spPr>
          <c:invertIfNegative val="1"/>
          <c:cat>
            <c:strRef>
              <c:f>'Module-wise Metrics'!$B$2:$B$29</c:f>
              <c:strCache>
                <c:ptCount val="28"/>
                <c:pt idx="0">
                  <c:v>Login</c:v>
                </c:pt>
                <c:pt idx="1">
                  <c:v>Employees-Add Employee</c:v>
                </c:pt>
                <c:pt idx="2">
                  <c:v>Employees-Self Onboarding</c:v>
                </c:pt>
                <c:pt idx="3">
                  <c:v>Employees-Settings</c:v>
                </c:pt>
                <c:pt idx="4">
                  <c:v>HRM-Required Documents</c:v>
                </c:pt>
                <c:pt idx="5">
                  <c:v>HRM-Induction</c:v>
                </c:pt>
                <c:pt idx="6">
                  <c:v>HRM-Roster</c:v>
                </c:pt>
                <c:pt idx="7">
                  <c:v>HRM-Attendance</c:v>
                </c:pt>
                <c:pt idx="8">
                  <c:v>Leave Management</c:v>
                </c:pt>
                <c:pt idx="9">
                  <c:v>Payroll</c:v>
                </c:pt>
                <c:pt idx="10">
                  <c:v>Super Funds</c:v>
                </c:pt>
                <c:pt idx="11">
                  <c:v>WMS-Clients</c:v>
                </c:pt>
                <c:pt idx="12">
                  <c:v>Subcontractors</c:v>
                </c:pt>
                <c:pt idx="13">
                  <c:v>Sites &amp; Projects</c:v>
                </c:pt>
                <c:pt idx="14">
                  <c:v>Safety &amp; Compliance</c:v>
                </c:pt>
                <c:pt idx="15">
                  <c:v>Toolbox &amp; Pre-Start Meetings</c:v>
                </c:pt>
                <c:pt idx="16">
                  <c:v>Assets Management</c:v>
                </c:pt>
                <c:pt idx="17">
                  <c:v>Help Desk</c:v>
                </c:pt>
                <c:pt idx="18">
                  <c:v>Invoices</c:v>
                </c:pt>
                <c:pt idx="19">
                  <c:v>Assigned Projects</c:v>
                </c:pt>
                <c:pt idx="20">
                  <c:v>My Team</c:v>
                </c:pt>
                <c:pt idx="21">
                  <c:v>Site defects</c:v>
                </c:pt>
                <c:pt idx="22">
                  <c:v>Site Diaries</c:v>
                </c:pt>
                <c:pt idx="23">
                  <c:v>Project Tasks</c:v>
                </c:pt>
                <c:pt idx="24">
                  <c:v>Tenders &amp; Bids</c:v>
                </c:pt>
                <c:pt idx="25">
                  <c:v>Invoices</c:v>
                </c:pt>
                <c:pt idx="26">
                  <c:v>Profile</c:v>
                </c:pt>
                <c:pt idx="27">
                  <c:v>Additional Functionality</c:v>
                </c:pt>
              </c:strCache>
            </c:strRef>
          </c:cat>
          <c:val>
            <c:numRef>
              <c:f>'Module-wise Metrics'!$F$2:$F$29</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c:v>
                </c:pt>
                <c:pt idx="21">
                  <c:v>0</c:v>
                </c:pt>
                <c:pt idx="22">
                  <c:v>0</c:v>
                </c:pt>
                <c:pt idx="23">
                  <c:v>0</c:v>
                </c:pt>
                <c:pt idx="24">
                  <c:v>4</c:v>
                </c:pt>
                <c:pt idx="25">
                  <c:v>7</c:v>
                </c:pt>
                <c:pt idx="26">
                  <c:v>0</c:v>
                </c:pt>
                <c:pt idx="27">
                  <c:v>0</c:v>
                </c:pt>
              </c:numCache>
            </c:numRef>
          </c:val>
          <c:extLst>
            <c:ext xmlns:c16="http://schemas.microsoft.com/office/drawing/2014/chart" uri="{C3380CC4-5D6E-409C-BE32-E72D297353CC}">
              <c16:uniqueId val="{00000002-7BE5-4AB0-A4DD-8D3B0A05859B}"/>
            </c:ext>
          </c:extLst>
        </c:ser>
        <c:ser>
          <c:idx val="3"/>
          <c:order val="3"/>
          <c:tx>
            <c:strRef>
              <c:f>'Module-wise Metrics'!$G$1</c:f>
              <c:strCache>
                <c:ptCount val="1"/>
                <c:pt idx="0">
                  <c:v>Pending</c:v>
                </c:pt>
              </c:strCache>
            </c:strRef>
          </c:tx>
          <c:spPr>
            <a:ln>
              <a:prstDash val="solid"/>
            </a:ln>
          </c:spPr>
          <c:invertIfNegative val="1"/>
          <c:cat>
            <c:strRef>
              <c:f>'Module-wise Metrics'!$B$2:$B$29</c:f>
              <c:strCache>
                <c:ptCount val="28"/>
                <c:pt idx="0">
                  <c:v>Login</c:v>
                </c:pt>
                <c:pt idx="1">
                  <c:v>Employees-Add Employee</c:v>
                </c:pt>
                <c:pt idx="2">
                  <c:v>Employees-Self Onboarding</c:v>
                </c:pt>
                <c:pt idx="3">
                  <c:v>Employees-Settings</c:v>
                </c:pt>
                <c:pt idx="4">
                  <c:v>HRM-Required Documents</c:v>
                </c:pt>
                <c:pt idx="5">
                  <c:v>HRM-Induction</c:v>
                </c:pt>
                <c:pt idx="6">
                  <c:v>HRM-Roster</c:v>
                </c:pt>
                <c:pt idx="7">
                  <c:v>HRM-Attendance</c:v>
                </c:pt>
                <c:pt idx="8">
                  <c:v>Leave Management</c:v>
                </c:pt>
                <c:pt idx="9">
                  <c:v>Payroll</c:v>
                </c:pt>
                <c:pt idx="10">
                  <c:v>Super Funds</c:v>
                </c:pt>
                <c:pt idx="11">
                  <c:v>WMS-Clients</c:v>
                </c:pt>
                <c:pt idx="12">
                  <c:v>Subcontractors</c:v>
                </c:pt>
                <c:pt idx="13">
                  <c:v>Sites &amp; Projects</c:v>
                </c:pt>
                <c:pt idx="14">
                  <c:v>Safety &amp; Compliance</c:v>
                </c:pt>
                <c:pt idx="15">
                  <c:v>Toolbox &amp; Pre-Start Meetings</c:v>
                </c:pt>
                <c:pt idx="16">
                  <c:v>Assets Management</c:v>
                </c:pt>
                <c:pt idx="17">
                  <c:v>Help Desk</c:v>
                </c:pt>
                <c:pt idx="18">
                  <c:v>Invoices</c:v>
                </c:pt>
                <c:pt idx="19">
                  <c:v>Assigned Projects</c:v>
                </c:pt>
                <c:pt idx="20">
                  <c:v>My Team</c:v>
                </c:pt>
                <c:pt idx="21">
                  <c:v>Site defects</c:v>
                </c:pt>
                <c:pt idx="22">
                  <c:v>Site Diaries</c:v>
                </c:pt>
                <c:pt idx="23">
                  <c:v>Project Tasks</c:v>
                </c:pt>
                <c:pt idx="24">
                  <c:v>Tenders &amp; Bids</c:v>
                </c:pt>
                <c:pt idx="25">
                  <c:v>Invoices</c:v>
                </c:pt>
                <c:pt idx="26">
                  <c:v>Profile</c:v>
                </c:pt>
                <c:pt idx="27">
                  <c:v>Additional Functionality</c:v>
                </c:pt>
              </c:strCache>
            </c:strRef>
          </c:cat>
          <c:val>
            <c:numRef>
              <c:f>'Module-wise Metrics'!$G$2:$G$29</c:f>
              <c:numCache>
                <c:formatCode>General</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5</c:v>
                </c:pt>
              </c:numCache>
            </c:numRef>
          </c:val>
          <c:extLst>
            <c:ext xmlns:c16="http://schemas.microsoft.com/office/drawing/2014/chart" uri="{C3380CC4-5D6E-409C-BE32-E72D297353CC}">
              <c16:uniqueId val="{00000003-7BE5-4AB0-A4DD-8D3B0A05859B}"/>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220980</xdr:colOff>
      <xdr:row>1</xdr:row>
      <xdr:rowOff>22860</xdr:rowOff>
    </xdr:from>
    <xdr:ext cx="432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388620</xdr:colOff>
      <xdr:row>1</xdr:row>
      <xdr:rowOff>0</xdr:rowOff>
    </xdr:from>
    <xdr:ext cx="4320000" cy="288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320040</xdr:colOff>
      <xdr:row>15</xdr:row>
      <xdr:rowOff>152400</xdr:rowOff>
    </xdr:from>
    <xdr:ext cx="5040000" cy="288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1</xdr:row>
      <xdr:rowOff>0</xdr:rowOff>
    </xdr:from>
    <xdr:ext cx="9360000" cy="43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workbookViewId="0">
      <selection sqref="A1:C1"/>
    </sheetView>
  </sheetViews>
  <sheetFormatPr defaultRowHeight="14.4" x14ac:dyDescent="0.3"/>
  <cols>
    <col min="1" max="1" width="30" customWidth="1"/>
    <col min="2" max="2" width="12" customWidth="1"/>
    <col min="3" max="3" width="14.33203125" customWidth="1"/>
  </cols>
  <sheetData>
    <row r="1" spans="1:5" ht="17.399999999999999" x14ac:dyDescent="0.3">
      <c r="A1" s="7" t="s">
        <v>0</v>
      </c>
      <c r="B1" s="8"/>
      <c r="C1" s="8"/>
    </row>
    <row r="3" spans="1:5" ht="24" customHeight="1" x14ac:dyDescent="0.3">
      <c r="A3" s="1" t="s">
        <v>1</v>
      </c>
      <c r="B3" s="1" t="s">
        <v>2</v>
      </c>
      <c r="C3" s="1" t="s">
        <v>3</v>
      </c>
    </row>
    <row r="4" spans="1:5" x14ac:dyDescent="0.3">
      <c r="A4" s="2" t="s">
        <v>4</v>
      </c>
      <c r="B4" s="2">
        <v>982</v>
      </c>
      <c r="C4" s="3">
        <v>1</v>
      </c>
    </row>
    <row r="5" spans="1:5" x14ac:dyDescent="0.3">
      <c r="A5" s="2" t="s">
        <v>5</v>
      </c>
      <c r="B5" s="2">
        <v>803</v>
      </c>
      <c r="C5" s="3">
        <f>B5/$B$4</f>
        <v>0.81771894093686359</v>
      </c>
    </row>
    <row r="6" spans="1:5" x14ac:dyDescent="0.3">
      <c r="A6" s="2" t="s">
        <v>6</v>
      </c>
      <c r="B6" s="2">
        <v>159</v>
      </c>
      <c r="C6" s="3">
        <f>B6/$B$4</f>
        <v>0.16191446028513237</v>
      </c>
    </row>
    <row r="7" spans="1:5" x14ac:dyDescent="0.3">
      <c r="A7" s="2" t="s">
        <v>7</v>
      </c>
      <c r="B7" s="2">
        <v>5</v>
      </c>
      <c r="C7" s="3">
        <f>B7/$B$4</f>
        <v>5.0916496945010185E-3</v>
      </c>
    </row>
    <row r="8" spans="1:5" x14ac:dyDescent="0.3">
      <c r="A8" s="2" t="s">
        <v>8</v>
      </c>
      <c r="B8" s="2">
        <v>15</v>
      </c>
      <c r="C8" s="3">
        <f>B8/$B$4</f>
        <v>1.5274949083503055E-2</v>
      </c>
    </row>
    <row r="9" spans="1:5" x14ac:dyDescent="0.3">
      <c r="A9" s="4" t="s">
        <v>9</v>
      </c>
      <c r="B9" s="5">
        <f>IFERROR(B5/(B5+B6),0)</f>
        <v>0.83471933471933468</v>
      </c>
    </row>
    <row r="11" spans="1:5" ht="15.6" x14ac:dyDescent="0.3">
      <c r="A11" s="6" t="s">
        <v>10</v>
      </c>
    </row>
    <row r="12" spans="1:5" ht="24" customHeight="1" x14ac:dyDescent="0.3">
      <c r="A12" s="1" t="s">
        <v>11</v>
      </c>
      <c r="B12" s="1" t="s">
        <v>12</v>
      </c>
      <c r="C12" s="1" t="s">
        <v>5</v>
      </c>
      <c r="D12" s="1" t="s">
        <v>6</v>
      </c>
      <c r="E12" s="1" t="s">
        <v>13</v>
      </c>
    </row>
    <row r="13" spans="1:5" x14ac:dyDescent="0.3">
      <c r="A13" s="2" t="s">
        <v>14</v>
      </c>
      <c r="B13" s="2">
        <v>814</v>
      </c>
      <c r="C13" s="2">
        <v>682</v>
      </c>
      <c r="D13" s="2">
        <v>132</v>
      </c>
      <c r="E13" s="2">
        <v>0</v>
      </c>
    </row>
    <row r="14" spans="1:5" x14ac:dyDescent="0.3">
      <c r="A14" s="2" t="s">
        <v>15</v>
      </c>
      <c r="B14" s="2">
        <v>168</v>
      </c>
      <c r="C14" s="2">
        <v>121</v>
      </c>
      <c r="D14" s="2">
        <v>27</v>
      </c>
      <c r="E14" s="2">
        <v>20</v>
      </c>
    </row>
    <row r="16" spans="1:5" ht="15.6" x14ac:dyDescent="0.3">
      <c r="A16" s="6" t="s">
        <v>16</v>
      </c>
    </row>
    <row r="17" spans="1:5" ht="24" customHeight="1" x14ac:dyDescent="0.3">
      <c r="A17" s="1" t="s">
        <v>17</v>
      </c>
      <c r="B17" s="1" t="s">
        <v>12</v>
      </c>
      <c r="C17" s="1" t="s">
        <v>5</v>
      </c>
      <c r="D17" s="1" t="s">
        <v>6</v>
      </c>
      <c r="E17" s="1" t="s">
        <v>13</v>
      </c>
    </row>
    <row r="18" spans="1:5" x14ac:dyDescent="0.3">
      <c r="A18" s="2" t="s">
        <v>18</v>
      </c>
      <c r="B18" s="2">
        <v>827</v>
      </c>
      <c r="C18" s="2">
        <v>676</v>
      </c>
      <c r="D18" s="2">
        <v>131</v>
      </c>
      <c r="E18" s="2">
        <v>20</v>
      </c>
    </row>
    <row r="19" spans="1:5" x14ac:dyDescent="0.3">
      <c r="A19" s="2" t="s">
        <v>19</v>
      </c>
      <c r="B19" s="2">
        <v>146</v>
      </c>
      <c r="C19" s="2">
        <v>119</v>
      </c>
      <c r="D19" s="2">
        <v>27</v>
      </c>
      <c r="E19" s="2">
        <v>0</v>
      </c>
    </row>
    <row r="20" spans="1:5" x14ac:dyDescent="0.3">
      <c r="A20" s="2" t="s">
        <v>20</v>
      </c>
      <c r="B20" s="2">
        <v>9</v>
      </c>
      <c r="C20" s="2">
        <v>8</v>
      </c>
      <c r="D20" s="2">
        <v>1</v>
      </c>
      <c r="E20" s="2">
        <v>0</v>
      </c>
    </row>
  </sheetData>
  <mergeCells count="1">
    <mergeCell ref="A1:C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abSelected="1" workbookViewId="0">
      <pane ySplit="1" topLeftCell="A15" activePane="bottomLeft" state="frozen"/>
      <selection pane="bottomLeft" activeCell="C10" sqref="C10"/>
    </sheetView>
  </sheetViews>
  <sheetFormatPr defaultRowHeight="14.4" x14ac:dyDescent="0.3"/>
  <cols>
    <col min="1" max="1" width="20.109375" customWidth="1"/>
    <col min="2" max="2" width="26" customWidth="1"/>
    <col min="3" max="3" width="16" customWidth="1"/>
    <col min="4" max="8" width="10" customWidth="1"/>
  </cols>
  <sheetData>
    <row r="1" spans="1:8" ht="24" customHeight="1" x14ac:dyDescent="0.3">
      <c r="A1" s="1" t="s">
        <v>11</v>
      </c>
      <c r="B1" s="1" t="s">
        <v>21</v>
      </c>
      <c r="C1" s="1" t="s">
        <v>4</v>
      </c>
      <c r="D1" s="1" t="s">
        <v>5</v>
      </c>
      <c r="E1" s="1" t="s">
        <v>6</v>
      </c>
      <c r="F1" s="1" t="s">
        <v>8</v>
      </c>
      <c r="G1" s="1" t="s">
        <v>7</v>
      </c>
      <c r="H1" s="1" t="s">
        <v>22</v>
      </c>
    </row>
    <row r="2" spans="1:8" x14ac:dyDescent="0.3">
      <c r="A2" s="9" t="s">
        <v>14</v>
      </c>
      <c r="B2" s="9" t="s">
        <v>23</v>
      </c>
      <c r="C2" s="9">
        <v>36</v>
      </c>
      <c r="D2" s="9">
        <v>35</v>
      </c>
      <c r="E2" s="9">
        <v>1</v>
      </c>
      <c r="F2" s="9">
        <v>0</v>
      </c>
      <c r="G2" s="9">
        <v>0</v>
      </c>
      <c r="H2" s="10">
        <f t="shared" ref="H2:H30" si="0">IFERROR(D2/C2,0)</f>
        <v>0.97222222222222221</v>
      </c>
    </row>
    <row r="3" spans="1:8" x14ac:dyDescent="0.3">
      <c r="A3" s="9" t="s">
        <v>14</v>
      </c>
      <c r="B3" s="9" t="s">
        <v>24</v>
      </c>
      <c r="C3" s="9">
        <v>87</v>
      </c>
      <c r="D3" s="9">
        <v>67</v>
      </c>
      <c r="E3" s="9">
        <v>20</v>
      </c>
      <c r="F3" s="9">
        <v>0</v>
      </c>
      <c r="G3" s="9">
        <v>0</v>
      </c>
      <c r="H3" s="10">
        <f t="shared" si="0"/>
        <v>0.77011494252873558</v>
      </c>
    </row>
    <row r="4" spans="1:8" x14ac:dyDescent="0.3">
      <c r="A4" s="9" t="s">
        <v>14</v>
      </c>
      <c r="B4" s="9" t="s">
        <v>25</v>
      </c>
      <c r="C4" s="9">
        <v>52</v>
      </c>
      <c r="D4" s="9">
        <v>45</v>
      </c>
      <c r="E4" s="9">
        <v>7</v>
      </c>
      <c r="F4" s="9">
        <v>0</v>
      </c>
      <c r="G4" s="9">
        <v>0</v>
      </c>
      <c r="H4" s="10">
        <f t="shared" si="0"/>
        <v>0.86538461538461542</v>
      </c>
    </row>
    <row r="5" spans="1:8" x14ac:dyDescent="0.3">
      <c r="A5" s="9" t="s">
        <v>14</v>
      </c>
      <c r="B5" s="9" t="s">
        <v>26</v>
      </c>
      <c r="C5" s="9">
        <v>13</v>
      </c>
      <c r="D5" s="9">
        <v>13</v>
      </c>
      <c r="E5" s="9">
        <v>0</v>
      </c>
      <c r="F5" s="9">
        <v>0</v>
      </c>
      <c r="G5" s="9">
        <v>0</v>
      </c>
      <c r="H5" s="10">
        <f t="shared" si="0"/>
        <v>1</v>
      </c>
    </row>
    <row r="6" spans="1:8" x14ac:dyDescent="0.3">
      <c r="A6" s="9" t="s">
        <v>14</v>
      </c>
      <c r="B6" s="9" t="s">
        <v>27</v>
      </c>
      <c r="C6" s="9">
        <v>21</v>
      </c>
      <c r="D6" s="9">
        <v>21</v>
      </c>
      <c r="E6" s="9">
        <v>0</v>
      </c>
      <c r="F6" s="9">
        <v>0</v>
      </c>
      <c r="G6" s="9">
        <v>0</v>
      </c>
      <c r="H6" s="10">
        <f t="shared" si="0"/>
        <v>1</v>
      </c>
    </row>
    <row r="7" spans="1:8" x14ac:dyDescent="0.3">
      <c r="A7" s="9" t="s">
        <v>14</v>
      </c>
      <c r="B7" s="9" t="s">
        <v>28</v>
      </c>
      <c r="C7" s="9">
        <v>24</v>
      </c>
      <c r="D7" s="9">
        <v>20</v>
      </c>
      <c r="E7" s="9">
        <v>4</v>
      </c>
      <c r="F7" s="9">
        <v>0</v>
      </c>
      <c r="G7" s="9">
        <v>0</v>
      </c>
      <c r="H7" s="10">
        <f t="shared" si="0"/>
        <v>0.83333333333333337</v>
      </c>
    </row>
    <row r="8" spans="1:8" x14ac:dyDescent="0.3">
      <c r="A8" s="9" t="s">
        <v>14</v>
      </c>
      <c r="B8" s="9" t="s">
        <v>29</v>
      </c>
      <c r="C8" s="9">
        <v>45</v>
      </c>
      <c r="D8" s="9">
        <v>35</v>
      </c>
      <c r="E8" s="9">
        <v>10</v>
      </c>
      <c r="F8" s="9">
        <v>0</v>
      </c>
      <c r="G8" s="9">
        <v>0</v>
      </c>
      <c r="H8" s="10">
        <f t="shared" si="0"/>
        <v>0.77777777777777779</v>
      </c>
    </row>
    <row r="9" spans="1:8" x14ac:dyDescent="0.3">
      <c r="A9" s="9" t="s">
        <v>14</v>
      </c>
      <c r="B9" s="9" t="s">
        <v>30</v>
      </c>
      <c r="C9" s="9">
        <v>63</v>
      </c>
      <c r="D9" s="9">
        <v>48</v>
      </c>
      <c r="E9" s="9">
        <v>15</v>
      </c>
      <c r="F9" s="9">
        <v>0</v>
      </c>
      <c r="G9" s="9">
        <v>0</v>
      </c>
      <c r="H9" s="10">
        <f t="shared" si="0"/>
        <v>0.76190476190476186</v>
      </c>
    </row>
    <row r="10" spans="1:8" x14ac:dyDescent="0.3">
      <c r="A10" s="9" t="s">
        <v>14</v>
      </c>
      <c r="B10" s="9" t="s">
        <v>31</v>
      </c>
      <c r="C10" s="9">
        <v>54</v>
      </c>
      <c r="D10" s="9">
        <v>40</v>
      </c>
      <c r="E10" s="9">
        <v>14</v>
      </c>
      <c r="F10" s="9">
        <v>0</v>
      </c>
      <c r="G10" s="9">
        <v>0</v>
      </c>
      <c r="H10" s="10">
        <f t="shared" si="0"/>
        <v>0.7407407407407407</v>
      </c>
    </row>
    <row r="11" spans="1:8" x14ac:dyDescent="0.3">
      <c r="A11" s="9" t="s">
        <v>14</v>
      </c>
      <c r="B11" s="9" t="s">
        <v>32</v>
      </c>
      <c r="C11" s="9">
        <v>72</v>
      </c>
      <c r="D11" s="9">
        <v>63</v>
      </c>
      <c r="E11" s="9">
        <v>9</v>
      </c>
      <c r="F11" s="9">
        <v>0</v>
      </c>
      <c r="G11" s="9">
        <v>0</v>
      </c>
      <c r="H11" s="10">
        <f t="shared" si="0"/>
        <v>0.875</v>
      </c>
    </row>
    <row r="12" spans="1:8" x14ac:dyDescent="0.3">
      <c r="A12" s="9" t="s">
        <v>14</v>
      </c>
      <c r="B12" s="9" t="s">
        <v>33</v>
      </c>
      <c r="C12" s="9">
        <v>11</v>
      </c>
      <c r="D12" s="9">
        <v>11</v>
      </c>
      <c r="E12" s="9">
        <v>0</v>
      </c>
      <c r="F12" s="9">
        <v>0</v>
      </c>
      <c r="G12" s="9">
        <v>0</v>
      </c>
      <c r="H12" s="10">
        <f t="shared" si="0"/>
        <v>1</v>
      </c>
    </row>
    <row r="13" spans="1:8" x14ac:dyDescent="0.3">
      <c r="A13" s="9" t="s">
        <v>14</v>
      </c>
      <c r="B13" s="9" t="s">
        <v>34</v>
      </c>
      <c r="C13" s="9">
        <v>17</v>
      </c>
      <c r="D13" s="9">
        <v>11</v>
      </c>
      <c r="E13" s="9">
        <v>6</v>
      </c>
      <c r="F13" s="9">
        <v>0</v>
      </c>
      <c r="G13" s="9">
        <v>0</v>
      </c>
      <c r="H13" s="10">
        <f t="shared" si="0"/>
        <v>0.6470588235294118</v>
      </c>
    </row>
    <row r="14" spans="1:8" x14ac:dyDescent="0.3">
      <c r="A14" s="9" t="s">
        <v>14</v>
      </c>
      <c r="B14" s="9" t="s">
        <v>35</v>
      </c>
      <c r="C14" s="9">
        <v>53</v>
      </c>
      <c r="D14" s="9">
        <v>44</v>
      </c>
      <c r="E14" s="9">
        <v>9</v>
      </c>
      <c r="F14" s="9">
        <v>0</v>
      </c>
      <c r="G14" s="9">
        <v>0</v>
      </c>
      <c r="H14" s="10">
        <f t="shared" si="0"/>
        <v>0.83018867924528306</v>
      </c>
    </row>
    <row r="15" spans="1:8" x14ac:dyDescent="0.3">
      <c r="A15" s="9" t="s">
        <v>14</v>
      </c>
      <c r="B15" s="9" t="s">
        <v>36</v>
      </c>
      <c r="C15" s="9">
        <v>103</v>
      </c>
      <c r="D15" s="9">
        <v>92</v>
      </c>
      <c r="E15" s="9">
        <v>11</v>
      </c>
      <c r="F15" s="9">
        <v>0</v>
      </c>
      <c r="G15" s="9">
        <v>0</v>
      </c>
      <c r="H15" s="10">
        <f t="shared" si="0"/>
        <v>0.89320388349514568</v>
      </c>
    </row>
    <row r="16" spans="1:8" x14ac:dyDescent="0.3">
      <c r="A16" s="9" t="s">
        <v>14</v>
      </c>
      <c r="B16" s="9" t="s">
        <v>37</v>
      </c>
      <c r="C16" s="9">
        <v>107</v>
      </c>
      <c r="D16" s="9">
        <v>93</v>
      </c>
      <c r="E16" s="9">
        <v>14</v>
      </c>
      <c r="F16" s="9">
        <v>0</v>
      </c>
      <c r="G16" s="9">
        <v>0</v>
      </c>
      <c r="H16" s="10">
        <f t="shared" si="0"/>
        <v>0.86915887850467288</v>
      </c>
    </row>
    <row r="17" spans="1:8" x14ac:dyDescent="0.3">
      <c r="A17" s="9" t="s">
        <v>14</v>
      </c>
      <c r="B17" s="9" t="s">
        <v>38</v>
      </c>
      <c r="C17" s="9">
        <v>21</v>
      </c>
      <c r="D17" s="9">
        <v>17</v>
      </c>
      <c r="E17" s="9">
        <v>4</v>
      </c>
      <c r="F17" s="9">
        <v>0</v>
      </c>
      <c r="G17" s="9">
        <v>0</v>
      </c>
      <c r="H17" s="10">
        <f t="shared" si="0"/>
        <v>0.80952380952380953</v>
      </c>
    </row>
    <row r="18" spans="1:8" x14ac:dyDescent="0.3">
      <c r="A18" s="9" t="s">
        <v>14</v>
      </c>
      <c r="B18" s="9" t="s">
        <v>39</v>
      </c>
      <c r="C18" s="9">
        <v>3</v>
      </c>
      <c r="D18" s="9">
        <v>3</v>
      </c>
      <c r="E18" s="9">
        <v>0</v>
      </c>
      <c r="F18" s="9">
        <v>0</v>
      </c>
      <c r="G18" s="9">
        <v>0</v>
      </c>
      <c r="H18" s="10">
        <f t="shared" si="0"/>
        <v>1</v>
      </c>
    </row>
    <row r="19" spans="1:8" x14ac:dyDescent="0.3">
      <c r="A19" s="9" t="s">
        <v>14</v>
      </c>
      <c r="B19" s="9" t="s">
        <v>40</v>
      </c>
      <c r="C19" s="9">
        <v>13</v>
      </c>
      <c r="D19" s="9">
        <v>10</v>
      </c>
      <c r="E19" s="9">
        <v>3</v>
      </c>
      <c r="F19" s="9">
        <v>0</v>
      </c>
      <c r="G19" s="9">
        <v>0</v>
      </c>
      <c r="H19" s="10">
        <f t="shared" si="0"/>
        <v>0.76923076923076927</v>
      </c>
    </row>
    <row r="20" spans="1:8" x14ac:dyDescent="0.3">
      <c r="A20" s="9" t="s">
        <v>14</v>
      </c>
      <c r="B20" s="9" t="s">
        <v>41</v>
      </c>
      <c r="C20" s="9">
        <v>19</v>
      </c>
      <c r="D20" s="9">
        <v>14</v>
      </c>
      <c r="E20" s="9">
        <v>5</v>
      </c>
      <c r="F20" s="9">
        <v>0</v>
      </c>
      <c r="G20" s="9">
        <v>0</v>
      </c>
      <c r="H20" s="10">
        <f t="shared" si="0"/>
        <v>0.73684210526315785</v>
      </c>
    </row>
    <row r="21" spans="1:8" ht="28.8" x14ac:dyDescent="0.3">
      <c r="A21" s="9" t="s">
        <v>15</v>
      </c>
      <c r="B21" s="9" t="s">
        <v>42</v>
      </c>
      <c r="C21" s="9">
        <v>51</v>
      </c>
      <c r="D21" s="9">
        <v>43</v>
      </c>
      <c r="E21" s="9">
        <v>8</v>
      </c>
      <c r="F21" s="9">
        <v>0</v>
      </c>
      <c r="G21" s="9">
        <v>0</v>
      </c>
      <c r="H21" s="10">
        <f t="shared" si="0"/>
        <v>0.84313725490196079</v>
      </c>
    </row>
    <row r="22" spans="1:8" ht="28.8" x14ac:dyDescent="0.3">
      <c r="A22" s="9" t="s">
        <v>15</v>
      </c>
      <c r="B22" s="9" t="s">
        <v>43</v>
      </c>
      <c r="C22" s="9">
        <v>38</v>
      </c>
      <c r="D22" s="9">
        <v>21</v>
      </c>
      <c r="E22" s="9">
        <v>13</v>
      </c>
      <c r="F22" s="9">
        <v>4</v>
      </c>
      <c r="G22" s="9">
        <v>0</v>
      </c>
      <c r="H22" s="10">
        <f t="shared" si="0"/>
        <v>0.55263157894736847</v>
      </c>
    </row>
    <row r="23" spans="1:8" ht="28.8" x14ac:dyDescent="0.3">
      <c r="A23" s="9" t="s">
        <v>15</v>
      </c>
      <c r="B23" s="9" t="s">
        <v>44</v>
      </c>
      <c r="C23" s="9">
        <v>15</v>
      </c>
      <c r="D23" s="9">
        <v>14</v>
      </c>
      <c r="E23" s="9">
        <v>1</v>
      </c>
      <c r="F23" s="9">
        <v>0</v>
      </c>
      <c r="G23" s="9">
        <v>0</v>
      </c>
      <c r="H23" s="10">
        <f t="shared" si="0"/>
        <v>0.93333333333333335</v>
      </c>
    </row>
    <row r="24" spans="1:8" ht="28.8" x14ac:dyDescent="0.3">
      <c r="A24" s="9" t="s">
        <v>15</v>
      </c>
      <c r="B24" s="9" t="s">
        <v>45</v>
      </c>
      <c r="C24" s="9">
        <v>7</v>
      </c>
      <c r="D24" s="9">
        <v>7</v>
      </c>
      <c r="E24" s="9">
        <v>0</v>
      </c>
      <c r="F24" s="9">
        <v>0</v>
      </c>
      <c r="G24" s="9">
        <v>0</v>
      </c>
      <c r="H24" s="10">
        <f t="shared" si="0"/>
        <v>1</v>
      </c>
    </row>
    <row r="25" spans="1:8" ht="28.8" x14ac:dyDescent="0.3">
      <c r="A25" s="9" t="s">
        <v>15</v>
      </c>
      <c r="B25" s="9" t="s">
        <v>46</v>
      </c>
      <c r="C25" s="9">
        <v>11</v>
      </c>
      <c r="D25" s="9">
        <v>11</v>
      </c>
      <c r="E25" s="9">
        <v>0</v>
      </c>
      <c r="F25" s="9">
        <v>0</v>
      </c>
      <c r="G25" s="9">
        <v>0</v>
      </c>
      <c r="H25" s="10">
        <f t="shared" si="0"/>
        <v>1</v>
      </c>
    </row>
    <row r="26" spans="1:8" ht="28.8" x14ac:dyDescent="0.3">
      <c r="A26" s="9" t="s">
        <v>15</v>
      </c>
      <c r="B26" s="9" t="s">
        <v>47</v>
      </c>
      <c r="C26" s="9">
        <v>19</v>
      </c>
      <c r="D26" s="9">
        <v>14</v>
      </c>
      <c r="E26" s="9">
        <v>1</v>
      </c>
      <c r="F26" s="9">
        <v>4</v>
      </c>
      <c r="G26" s="9">
        <v>0</v>
      </c>
      <c r="H26" s="10">
        <f t="shared" si="0"/>
        <v>0.73684210526315785</v>
      </c>
    </row>
    <row r="27" spans="1:8" ht="28.8" x14ac:dyDescent="0.3">
      <c r="A27" s="9" t="s">
        <v>15</v>
      </c>
      <c r="B27" s="9" t="s">
        <v>41</v>
      </c>
      <c r="C27" s="9">
        <v>7</v>
      </c>
      <c r="D27" s="9">
        <v>0</v>
      </c>
      <c r="E27" s="9">
        <v>0</v>
      </c>
      <c r="F27" s="9">
        <v>7</v>
      </c>
      <c r="G27" s="9">
        <v>0</v>
      </c>
      <c r="H27" s="10">
        <f t="shared" si="0"/>
        <v>0</v>
      </c>
    </row>
    <row r="28" spans="1:8" ht="28.8" x14ac:dyDescent="0.3">
      <c r="A28" s="9" t="s">
        <v>15</v>
      </c>
      <c r="B28" s="9" t="s">
        <v>48</v>
      </c>
      <c r="C28" s="9">
        <v>5</v>
      </c>
      <c r="D28" s="9">
        <v>4</v>
      </c>
      <c r="E28" s="9">
        <v>1</v>
      </c>
      <c r="F28" s="9">
        <v>0</v>
      </c>
      <c r="G28" s="9">
        <v>0</v>
      </c>
      <c r="H28" s="10">
        <f t="shared" si="0"/>
        <v>0.8</v>
      </c>
    </row>
    <row r="29" spans="1:8" ht="28.8" x14ac:dyDescent="0.3">
      <c r="A29" s="9" t="s">
        <v>15</v>
      </c>
      <c r="B29" s="9" t="s">
        <v>49</v>
      </c>
      <c r="C29" s="9">
        <v>15</v>
      </c>
      <c r="D29" s="9">
        <v>7</v>
      </c>
      <c r="E29" s="9">
        <v>3</v>
      </c>
      <c r="F29" s="9">
        <v>0</v>
      </c>
      <c r="G29" s="9">
        <v>5</v>
      </c>
      <c r="H29" s="10">
        <f t="shared" si="0"/>
        <v>0.46666666666666667</v>
      </c>
    </row>
    <row r="30" spans="1:8" x14ac:dyDescent="0.3">
      <c r="A30" s="11" t="s">
        <v>50</v>
      </c>
      <c r="B30" s="9"/>
      <c r="C30" s="11">
        <f>SUM(C2:C29)</f>
        <v>982</v>
      </c>
      <c r="D30" s="11">
        <f>SUM(D2:D29)</f>
        <v>803</v>
      </c>
      <c r="E30" s="11">
        <f>SUM(E2:E29)</f>
        <v>159</v>
      </c>
      <c r="F30" s="11">
        <f>SUM(F2:F29)</f>
        <v>15</v>
      </c>
      <c r="G30" s="11">
        <f>SUM(G2:G29)</f>
        <v>5</v>
      </c>
      <c r="H30" s="12">
        <f t="shared" si="0"/>
        <v>0.81771894093686359</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0"/>
  <sheetViews>
    <sheetView workbookViewId="0">
      <pane ySplit="1" topLeftCell="A2" activePane="bottomLeft" state="frozen"/>
      <selection pane="bottomLeft" activeCell="D8" sqref="D8"/>
    </sheetView>
  </sheetViews>
  <sheetFormatPr defaultRowHeight="14.4" x14ac:dyDescent="0.3"/>
  <cols>
    <col min="1" max="1" width="16" customWidth="1"/>
    <col min="2" max="3" width="22" customWidth="1"/>
    <col min="4" max="4" width="12" customWidth="1"/>
    <col min="5" max="5" width="10" customWidth="1"/>
    <col min="6" max="6" width="36" customWidth="1"/>
    <col min="7" max="7" width="34" customWidth="1"/>
    <col min="8" max="8" width="19.77734375" customWidth="1"/>
    <col min="9" max="9" width="34" customWidth="1"/>
  </cols>
  <sheetData>
    <row r="1" spans="1:9" ht="24" customHeight="1" x14ac:dyDescent="0.3">
      <c r="A1" s="1" t="s">
        <v>11</v>
      </c>
      <c r="B1" s="1" t="s">
        <v>21</v>
      </c>
      <c r="C1" s="1" t="s">
        <v>51</v>
      </c>
      <c r="D1" s="1" t="s">
        <v>52</v>
      </c>
      <c r="E1" s="1" t="s">
        <v>17</v>
      </c>
      <c r="F1" s="1" t="s">
        <v>53</v>
      </c>
      <c r="G1" s="1" t="s">
        <v>54</v>
      </c>
      <c r="H1" s="1" t="s">
        <v>55</v>
      </c>
      <c r="I1" s="1" t="s">
        <v>56</v>
      </c>
    </row>
    <row r="2" spans="1:9" ht="28.8" x14ac:dyDescent="0.3">
      <c r="A2" s="9" t="s">
        <v>14</v>
      </c>
      <c r="B2" s="9" t="s">
        <v>23</v>
      </c>
      <c r="C2" s="9" t="s">
        <v>57</v>
      </c>
      <c r="D2" s="9" t="s">
        <v>58</v>
      </c>
      <c r="E2" s="9" t="s">
        <v>20</v>
      </c>
      <c r="F2" s="9" t="s">
        <v>59</v>
      </c>
      <c r="G2" s="9" t="s">
        <v>60</v>
      </c>
      <c r="H2" s="9" t="s">
        <v>61</v>
      </c>
      <c r="I2" s="9"/>
    </row>
    <row r="3" spans="1:9" ht="43.2" x14ac:dyDescent="0.3">
      <c r="A3" s="9" t="s">
        <v>14</v>
      </c>
      <c r="B3" s="9" t="s">
        <v>24</v>
      </c>
      <c r="C3" s="9" t="s">
        <v>62</v>
      </c>
      <c r="D3" s="9" t="s">
        <v>63</v>
      </c>
      <c r="E3" s="9" t="s">
        <v>19</v>
      </c>
      <c r="F3" s="9" t="s">
        <v>64</v>
      </c>
      <c r="G3" s="9" t="s">
        <v>65</v>
      </c>
      <c r="H3" s="9" t="s">
        <v>61</v>
      </c>
      <c r="I3" s="9"/>
    </row>
    <row r="4" spans="1:9" ht="43.2" x14ac:dyDescent="0.3">
      <c r="A4" s="9" t="s">
        <v>14</v>
      </c>
      <c r="B4" s="9" t="s">
        <v>24</v>
      </c>
      <c r="C4" s="9" t="s">
        <v>66</v>
      </c>
      <c r="D4" s="9" t="s">
        <v>67</v>
      </c>
      <c r="E4" s="9" t="s">
        <v>19</v>
      </c>
      <c r="F4" s="9" t="s">
        <v>68</v>
      </c>
      <c r="G4" s="9" t="s">
        <v>69</v>
      </c>
      <c r="H4" s="9" t="s">
        <v>61</v>
      </c>
      <c r="I4" s="9"/>
    </row>
    <row r="5" spans="1:9" ht="43.2" x14ac:dyDescent="0.3">
      <c r="A5" s="9" t="s">
        <v>14</v>
      </c>
      <c r="B5" s="9" t="s">
        <v>24</v>
      </c>
      <c r="C5" s="9" t="s">
        <v>66</v>
      </c>
      <c r="D5" s="9" t="s">
        <v>70</v>
      </c>
      <c r="E5" s="9" t="s">
        <v>19</v>
      </c>
      <c r="F5" s="9" t="s">
        <v>71</v>
      </c>
      <c r="G5" s="9" t="s">
        <v>72</v>
      </c>
      <c r="H5" s="9" t="s">
        <v>61</v>
      </c>
      <c r="I5" s="9"/>
    </row>
    <row r="6" spans="1:9" ht="28.8" x14ac:dyDescent="0.3">
      <c r="A6" s="9" t="s">
        <v>14</v>
      </c>
      <c r="B6" s="9" t="s">
        <v>24</v>
      </c>
      <c r="C6" s="9" t="s">
        <v>66</v>
      </c>
      <c r="D6" s="9" t="s">
        <v>73</v>
      </c>
      <c r="E6" s="9" t="s">
        <v>19</v>
      </c>
      <c r="F6" s="9" t="s">
        <v>74</v>
      </c>
      <c r="G6" s="9" t="s">
        <v>75</v>
      </c>
      <c r="H6" s="9" t="s">
        <v>61</v>
      </c>
      <c r="I6" s="9"/>
    </row>
    <row r="7" spans="1:9" ht="28.8" x14ac:dyDescent="0.3">
      <c r="A7" s="9" t="s">
        <v>14</v>
      </c>
      <c r="B7" s="9" t="s">
        <v>24</v>
      </c>
      <c r="C7" s="9" t="s">
        <v>66</v>
      </c>
      <c r="D7" s="9" t="s">
        <v>76</v>
      </c>
      <c r="E7" s="9" t="s">
        <v>18</v>
      </c>
      <c r="F7" s="9" t="s">
        <v>77</v>
      </c>
      <c r="G7" s="9" t="s">
        <v>78</v>
      </c>
      <c r="H7" s="9" t="s">
        <v>61</v>
      </c>
      <c r="I7" s="9"/>
    </row>
    <row r="8" spans="1:9" ht="28.8" x14ac:dyDescent="0.3">
      <c r="A8" s="9" t="s">
        <v>14</v>
      </c>
      <c r="B8" s="9" t="s">
        <v>24</v>
      </c>
      <c r="C8" s="9" t="s">
        <v>79</v>
      </c>
      <c r="D8" s="9" t="s">
        <v>80</v>
      </c>
      <c r="E8" s="9" t="s">
        <v>19</v>
      </c>
      <c r="F8" s="9" t="s">
        <v>81</v>
      </c>
      <c r="G8" s="9" t="s">
        <v>82</v>
      </c>
      <c r="H8" s="9" t="s">
        <v>61</v>
      </c>
      <c r="I8" s="9"/>
    </row>
    <row r="9" spans="1:9" ht="57.6" x14ac:dyDescent="0.3">
      <c r="A9" s="9" t="s">
        <v>14</v>
      </c>
      <c r="B9" s="9" t="s">
        <v>24</v>
      </c>
      <c r="C9" s="9" t="s">
        <v>79</v>
      </c>
      <c r="D9" s="9" t="s">
        <v>70</v>
      </c>
      <c r="E9" s="9" t="s">
        <v>19</v>
      </c>
      <c r="F9" s="9" t="s">
        <v>83</v>
      </c>
      <c r="G9" s="9" t="s">
        <v>84</v>
      </c>
      <c r="H9" s="9" t="s">
        <v>61</v>
      </c>
      <c r="I9" s="9" t="s">
        <v>85</v>
      </c>
    </row>
    <row r="10" spans="1:9" ht="28.8" x14ac:dyDescent="0.3">
      <c r="A10" s="9" t="s">
        <v>14</v>
      </c>
      <c r="B10" s="9" t="s">
        <v>24</v>
      </c>
      <c r="C10" s="9" t="s">
        <v>79</v>
      </c>
      <c r="D10" s="9" t="s">
        <v>58</v>
      </c>
      <c r="E10" s="9" t="s">
        <v>19</v>
      </c>
      <c r="F10" s="9" t="s">
        <v>86</v>
      </c>
      <c r="G10" s="9" t="s">
        <v>87</v>
      </c>
      <c r="H10" s="9" t="s">
        <v>61</v>
      </c>
      <c r="I10" s="9"/>
    </row>
    <row r="11" spans="1:9" ht="28.8" x14ac:dyDescent="0.3">
      <c r="A11" s="9" t="s">
        <v>14</v>
      </c>
      <c r="B11" s="9" t="s">
        <v>24</v>
      </c>
      <c r="C11" s="9" t="s">
        <v>79</v>
      </c>
      <c r="D11" s="9" t="s">
        <v>88</v>
      </c>
      <c r="E11" s="9" t="s">
        <v>18</v>
      </c>
      <c r="F11" s="9" t="s">
        <v>89</v>
      </c>
      <c r="G11" s="9" t="s">
        <v>87</v>
      </c>
      <c r="H11" s="9" t="s">
        <v>61</v>
      </c>
      <c r="I11" s="9"/>
    </row>
    <row r="12" spans="1:9" ht="28.8" x14ac:dyDescent="0.3">
      <c r="A12" s="9" t="s">
        <v>14</v>
      </c>
      <c r="B12" s="9" t="s">
        <v>24</v>
      </c>
      <c r="C12" s="9" t="s">
        <v>79</v>
      </c>
      <c r="D12" s="9" t="s">
        <v>90</v>
      </c>
      <c r="E12" s="9" t="s">
        <v>18</v>
      </c>
      <c r="F12" s="9" t="s">
        <v>91</v>
      </c>
      <c r="G12" s="9" t="s">
        <v>87</v>
      </c>
      <c r="H12" s="9" t="s">
        <v>61</v>
      </c>
      <c r="I12" s="9"/>
    </row>
    <row r="13" spans="1:9" ht="28.8" x14ac:dyDescent="0.3">
      <c r="A13" s="9" t="s">
        <v>14</v>
      </c>
      <c r="B13" s="9" t="s">
        <v>24</v>
      </c>
      <c r="C13" s="9" t="s">
        <v>92</v>
      </c>
      <c r="D13" s="9" t="s">
        <v>93</v>
      </c>
      <c r="E13" s="9" t="s">
        <v>18</v>
      </c>
      <c r="F13" s="9" t="s">
        <v>94</v>
      </c>
      <c r="G13" s="9" t="s">
        <v>95</v>
      </c>
      <c r="H13" s="9" t="s">
        <v>61</v>
      </c>
      <c r="I13" s="9"/>
    </row>
    <row r="14" spans="1:9" ht="28.8" x14ac:dyDescent="0.3">
      <c r="A14" s="9" t="s">
        <v>14</v>
      </c>
      <c r="B14" s="9" t="s">
        <v>24</v>
      </c>
      <c r="C14" s="9" t="s">
        <v>92</v>
      </c>
      <c r="D14" s="9" t="s">
        <v>96</v>
      </c>
      <c r="E14" s="9" t="s">
        <v>18</v>
      </c>
      <c r="F14" s="9" t="s">
        <v>97</v>
      </c>
      <c r="G14" s="9" t="s">
        <v>98</v>
      </c>
      <c r="H14" s="9" t="s">
        <v>61</v>
      </c>
      <c r="I14" s="9"/>
    </row>
    <row r="15" spans="1:9" ht="57.6" x14ac:dyDescent="0.3">
      <c r="A15" s="9" t="s">
        <v>14</v>
      </c>
      <c r="B15" s="9" t="s">
        <v>24</v>
      </c>
      <c r="C15" s="9" t="s">
        <v>92</v>
      </c>
      <c r="D15" s="9" t="s">
        <v>99</v>
      </c>
      <c r="E15" s="9" t="s">
        <v>19</v>
      </c>
      <c r="F15" s="9" t="s">
        <v>100</v>
      </c>
      <c r="G15" s="9" t="s">
        <v>101</v>
      </c>
      <c r="H15" s="9" t="s">
        <v>61</v>
      </c>
      <c r="I15" s="9" t="s">
        <v>102</v>
      </c>
    </row>
    <row r="16" spans="1:9" ht="28.8" x14ac:dyDescent="0.3">
      <c r="A16" s="9" t="s">
        <v>14</v>
      </c>
      <c r="B16" s="9" t="s">
        <v>24</v>
      </c>
      <c r="C16" s="9" t="s">
        <v>92</v>
      </c>
      <c r="D16" s="9" t="s">
        <v>80</v>
      </c>
      <c r="E16" s="9" t="s">
        <v>19</v>
      </c>
      <c r="F16" s="9" t="s">
        <v>103</v>
      </c>
      <c r="G16" s="9" t="s">
        <v>104</v>
      </c>
      <c r="H16" s="9" t="s">
        <v>61</v>
      </c>
      <c r="I16" s="9"/>
    </row>
    <row r="17" spans="1:9" ht="43.2" x14ac:dyDescent="0.3">
      <c r="A17" s="9" t="s">
        <v>14</v>
      </c>
      <c r="B17" s="9" t="s">
        <v>24</v>
      </c>
      <c r="C17" s="9" t="s">
        <v>92</v>
      </c>
      <c r="D17" s="9" t="s">
        <v>105</v>
      </c>
      <c r="E17" s="9" t="s">
        <v>19</v>
      </c>
      <c r="F17" s="9" t="s">
        <v>106</v>
      </c>
      <c r="G17" s="9" t="s">
        <v>107</v>
      </c>
      <c r="H17" s="9" t="s">
        <v>61</v>
      </c>
      <c r="I17" s="9"/>
    </row>
    <row r="18" spans="1:9" ht="28.8" x14ac:dyDescent="0.3">
      <c r="A18" s="9" t="s">
        <v>14</v>
      </c>
      <c r="B18" s="9" t="s">
        <v>24</v>
      </c>
      <c r="C18" s="9" t="s">
        <v>92</v>
      </c>
      <c r="D18" s="9" t="s">
        <v>67</v>
      </c>
      <c r="E18" s="9" t="s">
        <v>19</v>
      </c>
      <c r="F18" s="9" t="s">
        <v>108</v>
      </c>
      <c r="G18" s="9" t="s">
        <v>109</v>
      </c>
      <c r="H18" s="9" t="s">
        <v>61</v>
      </c>
      <c r="I18" s="9"/>
    </row>
    <row r="19" spans="1:9" ht="28.8" x14ac:dyDescent="0.3">
      <c r="A19" s="9" t="s">
        <v>14</v>
      </c>
      <c r="B19" s="9" t="s">
        <v>24</v>
      </c>
      <c r="C19" s="9" t="s">
        <v>110</v>
      </c>
      <c r="D19" s="9" t="s">
        <v>96</v>
      </c>
      <c r="E19" s="9" t="s">
        <v>19</v>
      </c>
      <c r="F19" s="9" t="s">
        <v>111</v>
      </c>
      <c r="G19" s="9" t="s">
        <v>112</v>
      </c>
      <c r="H19" s="9" t="s">
        <v>61</v>
      </c>
      <c r="I19" s="9"/>
    </row>
    <row r="20" spans="1:9" ht="28.8" x14ac:dyDescent="0.3">
      <c r="A20" s="9" t="s">
        <v>14</v>
      </c>
      <c r="B20" s="9" t="s">
        <v>24</v>
      </c>
      <c r="C20" s="9" t="s">
        <v>110</v>
      </c>
      <c r="D20" s="9" t="s">
        <v>113</v>
      </c>
      <c r="E20" s="9" t="s">
        <v>19</v>
      </c>
      <c r="F20" s="9" t="s">
        <v>114</v>
      </c>
      <c r="G20" s="9" t="s">
        <v>115</v>
      </c>
      <c r="H20" s="9" t="s">
        <v>61</v>
      </c>
      <c r="I20" s="9"/>
    </row>
    <row r="21" spans="1:9" ht="28.8" x14ac:dyDescent="0.3">
      <c r="A21" s="9" t="s">
        <v>14</v>
      </c>
      <c r="B21" s="9" t="s">
        <v>24</v>
      </c>
      <c r="C21" s="9" t="s">
        <v>110</v>
      </c>
      <c r="D21" s="9" t="s">
        <v>80</v>
      </c>
      <c r="E21" s="9" t="s">
        <v>19</v>
      </c>
      <c r="F21" s="9" t="s">
        <v>116</v>
      </c>
      <c r="G21" s="9" t="s">
        <v>117</v>
      </c>
      <c r="H21" s="9" t="s">
        <v>61</v>
      </c>
      <c r="I21" s="9"/>
    </row>
    <row r="22" spans="1:9" ht="28.8" x14ac:dyDescent="0.3">
      <c r="A22" s="9" t="s">
        <v>14</v>
      </c>
      <c r="B22" s="9" t="s">
        <v>24</v>
      </c>
      <c r="C22" s="9" t="s">
        <v>110</v>
      </c>
      <c r="D22" s="9" t="s">
        <v>118</v>
      </c>
      <c r="E22" s="9" t="s">
        <v>19</v>
      </c>
      <c r="F22" s="9" t="s">
        <v>119</v>
      </c>
      <c r="G22" s="9" t="s">
        <v>120</v>
      </c>
      <c r="H22" s="9" t="s">
        <v>61</v>
      </c>
      <c r="I22" s="9"/>
    </row>
    <row r="23" spans="1:9" ht="43.2" x14ac:dyDescent="0.3">
      <c r="A23" s="9" t="s">
        <v>14</v>
      </c>
      <c r="B23" s="9" t="s">
        <v>25</v>
      </c>
      <c r="C23" s="9" t="s">
        <v>25</v>
      </c>
      <c r="D23" s="9" t="s">
        <v>90</v>
      </c>
      <c r="E23" s="9" t="s">
        <v>19</v>
      </c>
      <c r="F23" s="9" t="s">
        <v>121</v>
      </c>
      <c r="G23" s="9" t="s">
        <v>72</v>
      </c>
      <c r="H23" s="9" t="s">
        <v>61</v>
      </c>
      <c r="I23" s="9"/>
    </row>
    <row r="24" spans="1:9" ht="43.2" x14ac:dyDescent="0.3">
      <c r="A24" s="9" t="s">
        <v>14</v>
      </c>
      <c r="B24" s="9" t="s">
        <v>25</v>
      </c>
      <c r="C24" s="9" t="s">
        <v>25</v>
      </c>
      <c r="D24" s="9" t="s">
        <v>122</v>
      </c>
      <c r="E24" s="9" t="s">
        <v>19</v>
      </c>
      <c r="F24" s="9" t="s">
        <v>68</v>
      </c>
      <c r="G24" s="9" t="s">
        <v>69</v>
      </c>
      <c r="H24" s="9" t="s">
        <v>61</v>
      </c>
      <c r="I24" s="9"/>
    </row>
    <row r="25" spans="1:9" ht="28.8" x14ac:dyDescent="0.3">
      <c r="A25" s="9" t="s">
        <v>14</v>
      </c>
      <c r="B25" s="9" t="s">
        <v>25</v>
      </c>
      <c r="C25" s="9" t="s">
        <v>25</v>
      </c>
      <c r="D25" s="9" t="s">
        <v>123</v>
      </c>
      <c r="E25" s="9" t="s">
        <v>19</v>
      </c>
      <c r="F25" s="9" t="s">
        <v>124</v>
      </c>
      <c r="G25" s="9" t="s">
        <v>75</v>
      </c>
      <c r="H25" s="9" t="s">
        <v>61</v>
      </c>
      <c r="I25" s="9"/>
    </row>
    <row r="26" spans="1:9" ht="28.8" x14ac:dyDescent="0.3">
      <c r="A26" s="9" t="s">
        <v>14</v>
      </c>
      <c r="B26" s="9" t="s">
        <v>25</v>
      </c>
      <c r="C26" s="9" t="s">
        <v>125</v>
      </c>
      <c r="D26" s="9" t="s">
        <v>113</v>
      </c>
      <c r="E26" s="9" t="s">
        <v>18</v>
      </c>
      <c r="F26" s="9" t="s">
        <v>126</v>
      </c>
      <c r="G26" s="9" t="s">
        <v>127</v>
      </c>
      <c r="H26" s="9" t="s">
        <v>61</v>
      </c>
      <c r="I26" s="9"/>
    </row>
    <row r="27" spans="1:9" ht="43.2" x14ac:dyDescent="0.3">
      <c r="A27" s="9" t="s">
        <v>14</v>
      </c>
      <c r="B27" s="9" t="s">
        <v>25</v>
      </c>
      <c r="C27" s="9" t="s">
        <v>125</v>
      </c>
      <c r="D27" s="9" t="s">
        <v>67</v>
      </c>
      <c r="E27" s="9" t="s">
        <v>19</v>
      </c>
      <c r="F27" s="9" t="s">
        <v>128</v>
      </c>
      <c r="G27" s="9" t="s">
        <v>69</v>
      </c>
      <c r="H27" s="9" t="s">
        <v>61</v>
      </c>
      <c r="I27" s="9"/>
    </row>
    <row r="28" spans="1:9" ht="43.2" x14ac:dyDescent="0.3">
      <c r="A28" s="9" t="s">
        <v>14</v>
      </c>
      <c r="B28" s="9" t="s">
        <v>25</v>
      </c>
      <c r="C28" s="9" t="s">
        <v>125</v>
      </c>
      <c r="D28" s="9" t="s">
        <v>70</v>
      </c>
      <c r="E28" s="9" t="s">
        <v>19</v>
      </c>
      <c r="F28" s="9" t="s">
        <v>129</v>
      </c>
      <c r="G28" s="9" t="s">
        <v>72</v>
      </c>
      <c r="H28" s="9" t="s">
        <v>61</v>
      </c>
      <c r="I28" s="9"/>
    </row>
    <row r="29" spans="1:9" ht="28.8" x14ac:dyDescent="0.3">
      <c r="A29" s="9" t="s">
        <v>14</v>
      </c>
      <c r="B29" s="9" t="s">
        <v>25</v>
      </c>
      <c r="C29" s="9" t="s">
        <v>125</v>
      </c>
      <c r="D29" s="9" t="s">
        <v>73</v>
      </c>
      <c r="E29" s="9" t="s">
        <v>19</v>
      </c>
      <c r="F29" s="9" t="s">
        <v>130</v>
      </c>
      <c r="G29" s="9" t="s">
        <v>75</v>
      </c>
      <c r="H29" s="9" t="s">
        <v>61</v>
      </c>
      <c r="I29" s="9"/>
    </row>
    <row r="30" spans="1:9" ht="28.8" x14ac:dyDescent="0.3">
      <c r="A30" s="9" t="s">
        <v>14</v>
      </c>
      <c r="B30" s="9" t="s">
        <v>28</v>
      </c>
      <c r="C30" s="9" t="s">
        <v>131</v>
      </c>
      <c r="D30" s="9" t="s">
        <v>93</v>
      </c>
      <c r="E30" s="9" t="s">
        <v>18</v>
      </c>
      <c r="F30" s="9" t="s">
        <v>132</v>
      </c>
      <c r="G30" s="9" t="s">
        <v>133</v>
      </c>
      <c r="H30" s="9" t="s">
        <v>61</v>
      </c>
      <c r="I30" s="9"/>
    </row>
    <row r="31" spans="1:9" ht="43.2" x14ac:dyDescent="0.3">
      <c r="A31" s="9" t="s">
        <v>14</v>
      </c>
      <c r="B31" s="9" t="s">
        <v>28</v>
      </c>
      <c r="C31" s="9" t="s">
        <v>131</v>
      </c>
      <c r="D31" s="9" t="s">
        <v>96</v>
      </c>
      <c r="E31" s="9" t="s">
        <v>18</v>
      </c>
      <c r="F31" s="9" t="s">
        <v>134</v>
      </c>
      <c r="G31" s="9" t="s">
        <v>135</v>
      </c>
      <c r="H31" s="9" t="s">
        <v>61</v>
      </c>
      <c r="I31" s="9"/>
    </row>
    <row r="32" spans="1:9" ht="28.8" x14ac:dyDescent="0.3">
      <c r="A32" s="9" t="s">
        <v>14</v>
      </c>
      <c r="B32" s="9" t="s">
        <v>28</v>
      </c>
      <c r="C32" s="9" t="s">
        <v>131</v>
      </c>
      <c r="D32" s="9" t="s">
        <v>70</v>
      </c>
      <c r="E32" s="9" t="s">
        <v>18</v>
      </c>
      <c r="F32" s="9" t="s">
        <v>136</v>
      </c>
      <c r="G32" s="9" t="s">
        <v>137</v>
      </c>
      <c r="H32" s="9" t="s">
        <v>61</v>
      </c>
      <c r="I32" s="9"/>
    </row>
    <row r="33" spans="1:9" ht="57.6" x14ac:dyDescent="0.3">
      <c r="A33" s="9" t="s">
        <v>14</v>
      </c>
      <c r="B33" s="9" t="s">
        <v>28</v>
      </c>
      <c r="C33" s="9" t="s">
        <v>131</v>
      </c>
      <c r="D33" s="9" t="s">
        <v>88</v>
      </c>
      <c r="E33" s="9" t="s">
        <v>19</v>
      </c>
      <c r="F33" s="9" t="s">
        <v>138</v>
      </c>
      <c r="G33" s="9" t="s">
        <v>139</v>
      </c>
      <c r="H33" s="9" t="s">
        <v>61</v>
      </c>
      <c r="I33" s="9" t="s">
        <v>140</v>
      </c>
    </row>
    <row r="34" spans="1:9" ht="28.8" x14ac:dyDescent="0.3">
      <c r="A34" s="9" t="s">
        <v>14</v>
      </c>
      <c r="B34" s="9" t="s">
        <v>29</v>
      </c>
      <c r="C34" s="9" t="s">
        <v>141</v>
      </c>
      <c r="D34" s="9" t="s">
        <v>113</v>
      </c>
      <c r="E34" s="9" t="s">
        <v>18</v>
      </c>
      <c r="F34" s="9" t="s">
        <v>142</v>
      </c>
      <c r="G34" s="9" t="s">
        <v>143</v>
      </c>
      <c r="H34" s="9" t="s">
        <v>61</v>
      </c>
      <c r="I34" s="9"/>
    </row>
    <row r="35" spans="1:9" ht="28.8" x14ac:dyDescent="0.3">
      <c r="A35" s="9" t="s">
        <v>14</v>
      </c>
      <c r="B35" s="9" t="s">
        <v>29</v>
      </c>
      <c r="C35" s="9" t="s">
        <v>141</v>
      </c>
      <c r="D35" s="9" t="s">
        <v>99</v>
      </c>
      <c r="E35" s="9" t="s">
        <v>18</v>
      </c>
      <c r="F35" s="9" t="s">
        <v>144</v>
      </c>
      <c r="G35" s="9" t="s">
        <v>143</v>
      </c>
      <c r="H35" s="9" t="s">
        <v>61</v>
      </c>
      <c r="I35" s="9"/>
    </row>
    <row r="36" spans="1:9" ht="100.8" x14ac:dyDescent="0.3">
      <c r="A36" s="9" t="s">
        <v>14</v>
      </c>
      <c r="B36" s="9" t="s">
        <v>29</v>
      </c>
      <c r="C36" s="9" t="s">
        <v>141</v>
      </c>
      <c r="D36" s="9" t="s">
        <v>67</v>
      </c>
      <c r="E36" s="9" t="s">
        <v>18</v>
      </c>
      <c r="F36" s="9" t="s">
        <v>145</v>
      </c>
      <c r="G36" s="9" t="s">
        <v>146</v>
      </c>
      <c r="H36" s="9" t="s">
        <v>61</v>
      </c>
      <c r="I36" s="9" t="s">
        <v>147</v>
      </c>
    </row>
    <row r="37" spans="1:9" ht="57.6" x14ac:dyDescent="0.3">
      <c r="A37" s="9" t="s">
        <v>14</v>
      </c>
      <c r="B37" s="9" t="s">
        <v>29</v>
      </c>
      <c r="C37" s="9" t="s">
        <v>141</v>
      </c>
      <c r="D37" s="9" t="s">
        <v>148</v>
      </c>
      <c r="E37" s="9" t="s">
        <v>18</v>
      </c>
      <c r="F37" s="9" t="s">
        <v>149</v>
      </c>
      <c r="G37" s="9" t="s">
        <v>150</v>
      </c>
      <c r="H37" s="9" t="s">
        <v>61</v>
      </c>
      <c r="I37" s="9" t="s">
        <v>151</v>
      </c>
    </row>
    <row r="38" spans="1:9" ht="28.8" x14ac:dyDescent="0.3">
      <c r="A38" s="9" t="s">
        <v>14</v>
      </c>
      <c r="B38" s="9" t="s">
        <v>29</v>
      </c>
      <c r="C38" s="9" t="s">
        <v>141</v>
      </c>
      <c r="D38" s="9" t="s">
        <v>152</v>
      </c>
      <c r="E38" s="9" t="s">
        <v>18</v>
      </c>
      <c r="F38" s="9" t="s">
        <v>153</v>
      </c>
      <c r="G38" s="9" t="s">
        <v>154</v>
      </c>
      <c r="H38" s="9" t="s">
        <v>61</v>
      </c>
      <c r="I38" s="9"/>
    </row>
    <row r="39" spans="1:9" ht="28.8" x14ac:dyDescent="0.3">
      <c r="A39" s="9" t="s">
        <v>14</v>
      </c>
      <c r="B39" s="9" t="s">
        <v>29</v>
      </c>
      <c r="C39" s="9" t="s">
        <v>141</v>
      </c>
      <c r="D39" s="9" t="s">
        <v>155</v>
      </c>
      <c r="E39" s="9" t="s">
        <v>18</v>
      </c>
      <c r="F39" s="9" t="s">
        <v>156</v>
      </c>
      <c r="G39" s="9" t="s">
        <v>157</v>
      </c>
      <c r="H39" s="9" t="s">
        <v>61</v>
      </c>
      <c r="I39" s="9" t="s">
        <v>158</v>
      </c>
    </row>
    <row r="40" spans="1:9" ht="43.2" x14ac:dyDescent="0.3">
      <c r="A40" s="9" t="s">
        <v>14</v>
      </c>
      <c r="B40" s="9" t="s">
        <v>29</v>
      </c>
      <c r="C40" s="9" t="s">
        <v>141</v>
      </c>
      <c r="D40" s="9" t="s">
        <v>159</v>
      </c>
      <c r="E40" s="9" t="s">
        <v>18</v>
      </c>
      <c r="F40" s="9" t="s">
        <v>160</v>
      </c>
      <c r="G40" s="9" t="s">
        <v>161</v>
      </c>
      <c r="H40" s="9" t="s">
        <v>61</v>
      </c>
      <c r="I40" s="9" t="s">
        <v>162</v>
      </c>
    </row>
    <row r="41" spans="1:9" ht="43.2" x14ac:dyDescent="0.3">
      <c r="A41" s="9" t="s">
        <v>14</v>
      </c>
      <c r="B41" s="9" t="s">
        <v>29</v>
      </c>
      <c r="C41" s="9" t="s">
        <v>141</v>
      </c>
      <c r="D41" s="9" t="s">
        <v>163</v>
      </c>
      <c r="E41" s="9" t="s">
        <v>18</v>
      </c>
      <c r="F41" s="9" t="s">
        <v>164</v>
      </c>
      <c r="G41" s="9" t="s">
        <v>165</v>
      </c>
      <c r="H41" s="9" t="s">
        <v>61</v>
      </c>
      <c r="I41" s="9" t="s">
        <v>166</v>
      </c>
    </row>
    <row r="42" spans="1:9" ht="28.8" x14ac:dyDescent="0.3">
      <c r="A42" s="9" t="s">
        <v>14</v>
      </c>
      <c r="B42" s="9" t="s">
        <v>29</v>
      </c>
      <c r="C42" s="9" t="s">
        <v>141</v>
      </c>
      <c r="D42" s="9" t="s">
        <v>167</v>
      </c>
      <c r="E42" s="9" t="s">
        <v>19</v>
      </c>
      <c r="F42" s="9" t="s">
        <v>168</v>
      </c>
      <c r="G42" s="9" t="s">
        <v>169</v>
      </c>
      <c r="H42" s="9" t="s">
        <v>61</v>
      </c>
      <c r="I42" s="9"/>
    </row>
    <row r="43" spans="1:9" ht="28.8" x14ac:dyDescent="0.3">
      <c r="A43" s="9" t="s">
        <v>14</v>
      </c>
      <c r="B43" s="9" t="s">
        <v>29</v>
      </c>
      <c r="C43" s="9" t="s">
        <v>141</v>
      </c>
      <c r="D43" s="9" t="s">
        <v>170</v>
      </c>
      <c r="E43" s="9" t="s">
        <v>19</v>
      </c>
      <c r="F43" s="9" t="s">
        <v>171</v>
      </c>
      <c r="G43" s="9" t="s">
        <v>172</v>
      </c>
      <c r="H43" s="9" t="s">
        <v>61</v>
      </c>
      <c r="I43" s="9"/>
    </row>
    <row r="44" spans="1:9" ht="43.2" x14ac:dyDescent="0.3">
      <c r="A44" s="9" t="s">
        <v>14</v>
      </c>
      <c r="B44" s="9" t="s">
        <v>30</v>
      </c>
      <c r="C44" s="9" t="s">
        <v>173</v>
      </c>
      <c r="D44" s="9" t="s">
        <v>67</v>
      </c>
      <c r="E44" s="9" t="s">
        <v>18</v>
      </c>
      <c r="F44" s="9" t="s">
        <v>174</v>
      </c>
      <c r="G44" s="9" t="s">
        <v>175</v>
      </c>
      <c r="H44" s="9" t="s">
        <v>61</v>
      </c>
      <c r="I44" s="9"/>
    </row>
    <row r="45" spans="1:9" ht="43.2" x14ac:dyDescent="0.3">
      <c r="A45" s="9" t="s">
        <v>14</v>
      </c>
      <c r="B45" s="9" t="s">
        <v>30</v>
      </c>
      <c r="C45" s="9" t="s">
        <v>173</v>
      </c>
      <c r="D45" s="9" t="s">
        <v>76</v>
      </c>
      <c r="E45" s="9" t="s">
        <v>18</v>
      </c>
      <c r="F45" s="9" t="s">
        <v>176</v>
      </c>
      <c r="G45" s="9" t="s">
        <v>177</v>
      </c>
      <c r="H45" s="9" t="s">
        <v>61</v>
      </c>
      <c r="I45" s="9"/>
    </row>
    <row r="46" spans="1:9" ht="43.2" x14ac:dyDescent="0.3">
      <c r="A46" s="9" t="s">
        <v>14</v>
      </c>
      <c r="B46" s="9" t="s">
        <v>30</v>
      </c>
      <c r="C46" s="9" t="s">
        <v>173</v>
      </c>
      <c r="D46" s="9" t="s">
        <v>58</v>
      </c>
      <c r="E46" s="9" t="s">
        <v>18</v>
      </c>
      <c r="F46" s="9" t="s">
        <v>178</v>
      </c>
      <c r="G46" s="9" t="s">
        <v>179</v>
      </c>
      <c r="H46" s="9" t="s">
        <v>61</v>
      </c>
      <c r="I46" s="9"/>
    </row>
    <row r="47" spans="1:9" ht="43.2" x14ac:dyDescent="0.3">
      <c r="A47" s="9" t="s">
        <v>14</v>
      </c>
      <c r="B47" s="9" t="s">
        <v>30</v>
      </c>
      <c r="C47" s="9" t="s">
        <v>173</v>
      </c>
      <c r="D47" s="9" t="s">
        <v>88</v>
      </c>
      <c r="E47" s="9" t="s">
        <v>18</v>
      </c>
      <c r="F47" s="9" t="s">
        <v>180</v>
      </c>
      <c r="G47" s="9" t="s">
        <v>181</v>
      </c>
      <c r="H47" s="9" t="s">
        <v>61</v>
      </c>
      <c r="I47" s="9"/>
    </row>
    <row r="48" spans="1:9" ht="100.8" x14ac:dyDescent="0.3">
      <c r="A48" s="9" t="s">
        <v>14</v>
      </c>
      <c r="B48" s="9" t="s">
        <v>30</v>
      </c>
      <c r="C48" s="9" t="s">
        <v>173</v>
      </c>
      <c r="D48" s="9" t="s">
        <v>123</v>
      </c>
      <c r="E48" s="9" t="s">
        <v>18</v>
      </c>
      <c r="F48" s="9" t="s">
        <v>182</v>
      </c>
      <c r="G48" s="9" t="s">
        <v>183</v>
      </c>
      <c r="H48" s="9" t="s">
        <v>61</v>
      </c>
      <c r="I48" s="9" t="s">
        <v>184</v>
      </c>
    </row>
    <row r="49" spans="1:9" ht="43.2" x14ac:dyDescent="0.3">
      <c r="A49" s="9" t="s">
        <v>14</v>
      </c>
      <c r="B49" s="9" t="s">
        <v>30</v>
      </c>
      <c r="C49" s="9" t="s">
        <v>173</v>
      </c>
      <c r="D49" s="9" t="s">
        <v>152</v>
      </c>
      <c r="E49" s="9" t="s">
        <v>18</v>
      </c>
      <c r="F49" s="9" t="s">
        <v>185</v>
      </c>
      <c r="G49" s="9" t="s">
        <v>186</v>
      </c>
      <c r="H49" s="9" t="s">
        <v>61</v>
      </c>
      <c r="I49" s="9"/>
    </row>
    <row r="50" spans="1:9" ht="28.8" x14ac:dyDescent="0.3">
      <c r="A50" s="9" t="s">
        <v>14</v>
      </c>
      <c r="B50" s="9" t="s">
        <v>30</v>
      </c>
      <c r="C50" s="9" t="s">
        <v>173</v>
      </c>
      <c r="D50" s="9" t="s">
        <v>187</v>
      </c>
      <c r="E50" s="9" t="s">
        <v>18</v>
      </c>
      <c r="F50" s="9" t="s">
        <v>188</v>
      </c>
      <c r="G50" s="9" t="s">
        <v>189</v>
      </c>
      <c r="H50" s="9" t="s">
        <v>61</v>
      </c>
      <c r="I50" s="9"/>
    </row>
    <row r="51" spans="1:9" ht="57.6" x14ac:dyDescent="0.3">
      <c r="A51" s="9" t="s">
        <v>14</v>
      </c>
      <c r="B51" s="9" t="s">
        <v>30</v>
      </c>
      <c r="C51" s="9" t="s">
        <v>190</v>
      </c>
      <c r="D51" s="9" t="s">
        <v>96</v>
      </c>
      <c r="E51" s="9" t="s">
        <v>18</v>
      </c>
      <c r="F51" s="9" t="s">
        <v>191</v>
      </c>
      <c r="G51" s="9" t="s">
        <v>192</v>
      </c>
      <c r="H51" s="9" t="s">
        <v>61</v>
      </c>
      <c r="I51" s="9" t="s">
        <v>193</v>
      </c>
    </row>
    <row r="52" spans="1:9" ht="43.2" x14ac:dyDescent="0.3">
      <c r="A52" s="9" t="s">
        <v>14</v>
      </c>
      <c r="B52" s="9" t="s">
        <v>30</v>
      </c>
      <c r="C52" s="9" t="s">
        <v>190</v>
      </c>
      <c r="D52" s="9" t="s">
        <v>113</v>
      </c>
      <c r="E52" s="9" t="s">
        <v>18</v>
      </c>
      <c r="F52" s="9" t="s">
        <v>194</v>
      </c>
      <c r="G52" s="9" t="s">
        <v>195</v>
      </c>
      <c r="H52" s="9" t="s">
        <v>61</v>
      </c>
      <c r="I52" s="9"/>
    </row>
    <row r="53" spans="1:9" ht="43.2" x14ac:dyDescent="0.3">
      <c r="A53" s="9" t="s">
        <v>14</v>
      </c>
      <c r="B53" s="9" t="s">
        <v>30</v>
      </c>
      <c r="C53" s="9" t="s">
        <v>190</v>
      </c>
      <c r="D53" s="9" t="s">
        <v>99</v>
      </c>
      <c r="E53" s="9" t="s">
        <v>18</v>
      </c>
      <c r="F53" s="9" t="s">
        <v>196</v>
      </c>
      <c r="G53" s="9" t="s">
        <v>197</v>
      </c>
      <c r="H53" s="9" t="s">
        <v>61</v>
      </c>
      <c r="I53" s="9"/>
    </row>
    <row r="54" spans="1:9" ht="86.4" x14ac:dyDescent="0.3">
      <c r="A54" s="9" t="s">
        <v>14</v>
      </c>
      <c r="B54" s="9" t="s">
        <v>30</v>
      </c>
      <c r="C54" s="9" t="s">
        <v>198</v>
      </c>
      <c r="D54" s="9" t="s">
        <v>199</v>
      </c>
      <c r="E54" s="9" t="s">
        <v>18</v>
      </c>
      <c r="F54" s="9" t="s">
        <v>200</v>
      </c>
      <c r="G54" s="9" t="s">
        <v>201</v>
      </c>
      <c r="H54" s="9" t="s">
        <v>61</v>
      </c>
      <c r="I54" s="9" t="s">
        <v>202</v>
      </c>
    </row>
    <row r="55" spans="1:9" ht="28.8" x14ac:dyDescent="0.3">
      <c r="A55" s="9" t="s">
        <v>14</v>
      </c>
      <c r="B55" s="9" t="s">
        <v>30</v>
      </c>
      <c r="C55" s="9" t="s">
        <v>198</v>
      </c>
      <c r="D55" s="9" t="s">
        <v>80</v>
      </c>
      <c r="E55" s="9" t="s">
        <v>19</v>
      </c>
      <c r="F55" s="9" t="s">
        <v>203</v>
      </c>
      <c r="G55" s="9" t="s">
        <v>204</v>
      </c>
      <c r="H55" s="9" t="s">
        <v>61</v>
      </c>
      <c r="I55" s="9" t="s">
        <v>205</v>
      </c>
    </row>
    <row r="56" spans="1:9" ht="28.8" x14ac:dyDescent="0.3">
      <c r="A56" s="9" t="s">
        <v>14</v>
      </c>
      <c r="B56" s="9" t="s">
        <v>30</v>
      </c>
      <c r="C56" s="9" t="s">
        <v>206</v>
      </c>
      <c r="D56" s="9" t="s">
        <v>118</v>
      </c>
      <c r="E56" s="9" t="s">
        <v>18</v>
      </c>
      <c r="F56" s="9" t="s">
        <v>207</v>
      </c>
      <c r="G56" s="9" t="s">
        <v>208</v>
      </c>
      <c r="H56" s="9" t="s">
        <v>61</v>
      </c>
      <c r="I56" s="9"/>
    </row>
    <row r="57" spans="1:9" ht="28.8" x14ac:dyDescent="0.3">
      <c r="A57" s="9" t="s">
        <v>14</v>
      </c>
      <c r="B57" s="9" t="s">
        <v>30</v>
      </c>
      <c r="C57" s="9" t="s">
        <v>206</v>
      </c>
      <c r="D57" s="9" t="s">
        <v>70</v>
      </c>
      <c r="E57" s="9" t="s">
        <v>18</v>
      </c>
      <c r="F57" s="9" t="s">
        <v>209</v>
      </c>
      <c r="G57" s="9" t="s">
        <v>210</v>
      </c>
      <c r="H57" s="9" t="s">
        <v>61</v>
      </c>
      <c r="I57" s="9"/>
    </row>
    <row r="58" spans="1:9" ht="28.8" x14ac:dyDescent="0.3">
      <c r="A58" s="9" t="s">
        <v>14</v>
      </c>
      <c r="B58" s="9" t="s">
        <v>30</v>
      </c>
      <c r="C58" s="9" t="s">
        <v>206</v>
      </c>
      <c r="D58" s="9" t="s">
        <v>58</v>
      </c>
      <c r="E58" s="9" t="s">
        <v>18</v>
      </c>
      <c r="F58" s="9" t="s">
        <v>211</v>
      </c>
      <c r="G58" s="9" t="s">
        <v>212</v>
      </c>
      <c r="H58" s="9" t="s">
        <v>61</v>
      </c>
      <c r="I58" s="9"/>
    </row>
    <row r="59" spans="1:9" ht="43.2" x14ac:dyDescent="0.3">
      <c r="A59" s="9" t="s">
        <v>14</v>
      </c>
      <c r="B59" s="9" t="s">
        <v>31</v>
      </c>
      <c r="C59" s="9" t="s">
        <v>213</v>
      </c>
      <c r="D59" s="9" t="s">
        <v>96</v>
      </c>
      <c r="E59" s="9" t="s">
        <v>18</v>
      </c>
      <c r="F59" s="9" t="s">
        <v>214</v>
      </c>
      <c r="G59" s="9" t="s">
        <v>215</v>
      </c>
      <c r="H59" s="9" t="s">
        <v>61</v>
      </c>
      <c r="I59" s="9"/>
    </row>
    <row r="60" spans="1:9" ht="72" x14ac:dyDescent="0.3">
      <c r="A60" s="9" t="s">
        <v>14</v>
      </c>
      <c r="B60" s="9" t="s">
        <v>31</v>
      </c>
      <c r="C60" s="9" t="s">
        <v>213</v>
      </c>
      <c r="D60" s="9" t="s">
        <v>80</v>
      </c>
      <c r="E60" s="9" t="s">
        <v>18</v>
      </c>
      <c r="F60" s="9" t="s">
        <v>216</v>
      </c>
      <c r="G60" s="9" t="s">
        <v>217</v>
      </c>
      <c r="H60" s="9" t="s">
        <v>61</v>
      </c>
      <c r="I60" s="9" t="s">
        <v>218</v>
      </c>
    </row>
    <row r="61" spans="1:9" ht="43.2" x14ac:dyDescent="0.3">
      <c r="A61" s="9" t="s">
        <v>14</v>
      </c>
      <c r="B61" s="9" t="s">
        <v>31</v>
      </c>
      <c r="C61" s="9" t="s">
        <v>213</v>
      </c>
      <c r="D61" s="9" t="s">
        <v>118</v>
      </c>
      <c r="E61" s="9" t="s">
        <v>18</v>
      </c>
      <c r="F61" s="9" t="s">
        <v>219</v>
      </c>
      <c r="G61" s="9" t="s">
        <v>220</v>
      </c>
      <c r="H61" s="9" t="s">
        <v>61</v>
      </c>
      <c r="I61" s="9" t="s">
        <v>221</v>
      </c>
    </row>
    <row r="62" spans="1:9" ht="43.2" x14ac:dyDescent="0.3">
      <c r="A62" s="9" t="s">
        <v>14</v>
      </c>
      <c r="B62" s="9" t="s">
        <v>31</v>
      </c>
      <c r="C62" s="9" t="s">
        <v>213</v>
      </c>
      <c r="D62" s="9" t="s">
        <v>123</v>
      </c>
      <c r="E62" s="9" t="s">
        <v>18</v>
      </c>
      <c r="F62" s="9" t="s">
        <v>222</v>
      </c>
      <c r="G62" s="9" t="s">
        <v>223</v>
      </c>
      <c r="H62" s="9" t="s">
        <v>61</v>
      </c>
      <c r="I62" s="9" t="s">
        <v>224</v>
      </c>
    </row>
    <row r="63" spans="1:9" ht="43.2" x14ac:dyDescent="0.3">
      <c r="A63" s="9" t="s">
        <v>14</v>
      </c>
      <c r="B63" s="9" t="s">
        <v>31</v>
      </c>
      <c r="C63" s="9" t="s">
        <v>213</v>
      </c>
      <c r="D63" s="9" t="s">
        <v>225</v>
      </c>
      <c r="E63" s="9" t="s">
        <v>18</v>
      </c>
      <c r="F63" s="9" t="s">
        <v>226</v>
      </c>
      <c r="G63" s="9" t="s">
        <v>227</v>
      </c>
      <c r="H63" s="9" t="s">
        <v>61</v>
      </c>
      <c r="I63" s="9"/>
    </row>
    <row r="64" spans="1:9" ht="28.8" x14ac:dyDescent="0.3">
      <c r="A64" s="9" t="s">
        <v>14</v>
      </c>
      <c r="B64" s="9" t="s">
        <v>31</v>
      </c>
      <c r="C64" s="9" t="s">
        <v>213</v>
      </c>
      <c r="D64" s="9" t="s">
        <v>228</v>
      </c>
      <c r="E64" s="9" t="s">
        <v>19</v>
      </c>
      <c r="F64" s="9" t="s">
        <v>229</v>
      </c>
      <c r="G64" s="9" t="s">
        <v>230</v>
      </c>
      <c r="H64" s="9" t="s">
        <v>61</v>
      </c>
      <c r="I64" s="9" t="s">
        <v>231</v>
      </c>
    </row>
    <row r="65" spans="1:9" ht="43.2" x14ac:dyDescent="0.3">
      <c r="A65" s="9" t="s">
        <v>14</v>
      </c>
      <c r="B65" s="9" t="s">
        <v>31</v>
      </c>
      <c r="C65" s="9" t="s">
        <v>232</v>
      </c>
      <c r="D65" s="9" t="s">
        <v>199</v>
      </c>
      <c r="E65" s="9" t="s">
        <v>18</v>
      </c>
      <c r="F65" s="9" t="s">
        <v>233</v>
      </c>
      <c r="G65" s="9" t="s">
        <v>234</v>
      </c>
      <c r="H65" s="9" t="s">
        <v>61</v>
      </c>
      <c r="I65" s="9" t="s">
        <v>235</v>
      </c>
    </row>
    <row r="66" spans="1:9" ht="43.2" x14ac:dyDescent="0.3">
      <c r="A66" s="9" t="s">
        <v>14</v>
      </c>
      <c r="B66" s="9" t="s">
        <v>31</v>
      </c>
      <c r="C66" s="9" t="s">
        <v>232</v>
      </c>
      <c r="D66" s="9" t="s">
        <v>96</v>
      </c>
      <c r="E66" s="9" t="s">
        <v>18</v>
      </c>
      <c r="F66" s="9" t="s">
        <v>236</v>
      </c>
      <c r="G66" s="9" t="s">
        <v>234</v>
      </c>
      <c r="H66" s="9" t="s">
        <v>61</v>
      </c>
      <c r="I66" s="9" t="s">
        <v>235</v>
      </c>
    </row>
    <row r="67" spans="1:9" ht="43.2" x14ac:dyDescent="0.3">
      <c r="A67" s="9" t="s">
        <v>14</v>
      </c>
      <c r="B67" s="9" t="s">
        <v>31</v>
      </c>
      <c r="C67" s="9" t="s">
        <v>232</v>
      </c>
      <c r="D67" s="9" t="s">
        <v>80</v>
      </c>
      <c r="E67" s="9" t="s">
        <v>18</v>
      </c>
      <c r="F67" s="9" t="s">
        <v>237</v>
      </c>
      <c r="G67" s="9" t="s">
        <v>238</v>
      </c>
      <c r="H67" s="9" t="s">
        <v>61</v>
      </c>
      <c r="I67" s="9" t="s">
        <v>239</v>
      </c>
    </row>
    <row r="68" spans="1:9" ht="28.8" x14ac:dyDescent="0.3">
      <c r="A68" s="9" t="s">
        <v>14</v>
      </c>
      <c r="B68" s="9" t="s">
        <v>31</v>
      </c>
      <c r="C68" s="9" t="s">
        <v>240</v>
      </c>
      <c r="D68" s="9" t="s">
        <v>199</v>
      </c>
      <c r="E68" s="9" t="s">
        <v>18</v>
      </c>
      <c r="F68" s="9" t="s">
        <v>241</v>
      </c>
      <c r="G68" s="9" t="s">
        <v>242</v>
      </c>
      <c r="H68" s="9" t="s">
        <v>61</v>
      </c>
      <c r="I68" s="9" t="s">
        <v>243</v>
      </c>
    </row>
    <row r="69" spans="1:9" ht="43.2" x14ac:dyDescent="0.3">
      <c r="A69" s="9" t="s">
        <v>14</v>
      </c>
      <c r="B69" s="9" t="s">
        <v>31</v>
      </c>
      <c r="C69" s="9" t="s">
        <v>240</v>
      </c>
      <c r="D69" s="9" t="s">
        <v>113</v>
      </c>
      <c r="E69" s="9" t="s">
        <v>18</v>
      </c>
      <c r="F69" s="9" t="s">
        <v>244</v>
      </c>
      <c r="G69" s="9" t="s">
        <v>245</v>
      </c>
      <c r="H69" s="9" t="s">
        <v>61</v>
      </c>
      <c r="I69" s="9"/>
    </row>
    <row r="70" spans="1:9" ht="28.8" x14ac:dyDescent="0.3">
      <c r="A70" s="9" t="s">
        <v>14</v>
      </c>
      <c r="B70" s="9" t="s">
        <v>31</v>
      </c>
      <c r="C70" s="9" t="s">
        <v>240</v>
      </c>
      <c r="D70" s="9" t="s">
        <v>118</v>
      </c>
      <c r="E70" s="9" t="s">
        <v>18</v>
      </c>
      <c r="F70" s="9" t="s">
        <v>156</v>
      </c>
      <c r="G70" s="9" t="s">
        <v>157</v>
      </c>
      <c r="H70" s="9" t="s">
        <v>61</v>
      </c>
      <c r="I70" s="9" t="s">
        <v>158</v>
      </c>
    </row>
    <row r="71" spans="1:9" ht="57.6" x14ac:dyDescent="0.3">
      <c r="A71" s="9" t="s">
        <v>14</v>
      </c>
      <c r="B71" s="9" t="s">
        <v>31</v>
      </c>
      <c r="C71" s="9" t="s">
        <v>246</v>
      </c>
      <c r="D71" s="9" t="s">
        <v>199</v>
      </c>
      <c r="E71" s="9" t="s">
        <v>18</v>
      </c>
      <c r="F71" s="9" t="s">
        <v>247</v>
      </c>
      <c r="G71" s="9" t="s">
        <v>248</v>
      </c>
      <c r="H71" s="9" t="s">
        <v>61</v>
      </c>
      <c r="I71" s="9"/>
    </row>
    <row r="72" spans="1:9" ht="28.8" x14ac:dyDescent="0.3">
      <c r="A72" s="9" t="s">
        <v>14</v>
      </c>
      <c r="B72" s="9" t="s">
        <v>31</v>
      </c>
      <c r="C72" s="9" t="s">
        <v>198</v>
      </c>
      <c r="D72" s="9" t="s">
        <v>99</v>
      </c>
      <c r="E72" s="9" t="s">
        <v>18</v>
      </c>
      <c r="F72" s="9" t="s">
        <v>249</v>
      </c>
      <c r="G72" s="9" t="s">
        <v>250</v>
      </c>
      <c r="H72" s="9" t="s">
        <v>61</v>
      </c>
      <c r="I72" s="9"/>
    </row>
    <row r="73" spans="1:9" ht="28.8" x14ac:dyDescent="0.3">
      <c r="A73" s="9" t="s">
        <v>14</v>
      </c>
      <c r="B73" s="9" t="s">
        <v>32</v>
      </c>
      <c r="C73" s="9" t="s">
        <v>251</v>
      </c>
      <c r="D73" s="9" t="s">
        <v>99</v>
      </c>
      <c r="E73" s="9" t="s">
        <v>18</v>
      </c>
      <c r="F73" s="9" t="s">
        <v>252</v>
      </c>
      <c r="G73" s="9" t="s">
        <v>253</v>
      </c>
      <c r="H73" s="9" t="s">
        <v>61</v>
      </c>
      <c r="I73" s="9" t="s">
        <v>254</v>
      </c>
    </row>
    <row r="74" spans="1:9" ht="57.6" x14ac:dyDescent="0.3">
      <c r="A74" s="9" t="s">
        <v>14</v>
      </c>
      <c r="B74" s="9" t="s">
        <v>32</v>
      </c>
      <c r="C74" s="9" t="s">
        <v>251</v>
      </c>
      <c r="D74" s="9" t="s">
        <v>88</v>
      </c>
      <c r="E74" s="9" t="s">
        <v>18</v>
      </c>
      <c r="F74" s="9" t="s">
        <v>255</v>
      </c>
      <c r="G74" s="9" t="s">
        <v>256</v>
      </c>
      <c r="H74" s="9" t="s">
        <v>61</v>
      </c>
      <c r="I74" s="9" t="s">
        <v>257</v>
      </c>
    </row>
    <row r="75" spans="1:9" ht="43.2" x14ac:dyDescent="0.3">
      <c r="A75" s="9" t="s">
        <v>14</v>
      </c>
      <c r="B75" s="9" t="s">
        <v>32</v>
      </c>
      <c r="C75" s="9" t="s">
        <v>251</v>
      </c>
      <c r="D75" s="9" t="s">
        <v>123</v>
      </c>
      <c r="E75" s="9" t="s">
        <v>18</v>
      </c>
      <c r="F75" s="9" t="s">
        <v>258</v>
      </c>
      <c r="G75" s="9" t="s">
        <v>259</v>
      </c>
      <c r="H75" s="9" t="s">
        <v>61</v>
      </c>
      <c r="I75" s="9" t="s">
        <v>260</v>
      </c>
    </row>
    <row r="76" spans="1:9" ht="115.2" x14ac:dyDescent="0.3">
      <c r="A76" s="9" t="s">
        <v>14</v>
      </c>
      <c r="B76" s="9" t="s">
        <v>32</v>
      </c>
      <c r="C76" s="9" t="s">
        <v>251</v>
      </c>
      <c r="D76" s="9" t="s">
        <v>261</v>
      </c>
      <c r="E76" s="9" t="s">
        <v>18</v>
      </c>
      <c r="F76" s="9" t="s">
        <v>262</v>
      </c>
      <c r="G76" s="9" t="s">
        <v>263</v>
      </c>
      <c r="H76" s="9" t="s">
        <v>61</v>
      </c>
      <c r="I76" s="9" t="s">
        <v>264</v>
      </c>
    </row>
    <row r="77" spans="1:9" ht="86.4" x14ac:dyDescent="0.3">
      <c r="A77" s="9" t="s">
        <v>14</v>
      </c>
      <c r="B77" s="9" t="s">
        <v>32</v>
      </c>
      <c r="C77" s="9" t="s">
        <v>251</v>
      </c>
      <c r="D77" s="9" t="s">
        <v>225</v>
      </c>
      <c r="E77" s="9" t="s">
        <v>18</v>
      </c>
      <c r="F77" s="9" t="s">
        <v>265</v>
      </c>
      <c r="G77" s="9" t="s">
        <v>266</v>
      </c>
      <c r="H77" s="9" t="s">
        <v>61</v>
      </c>
      <c r="I77" s="9" t="s">
        <v>267</v>
      </c>
    </row>
    <row r="78" spans="1:9" ht="72" x14ac:dyDescent="0.3">
      <c r="A78" s="9" t="s">
        <v>14</v>
      </c>
      <c r="B78" s="9" t="s">
        <v>32</v>
      </c>
      <c r="C78" s="9" t="s">
        <v>251</v>
      </c>
      <c r="D78" s="9" t="s">
        <v>268</v>
      </c>
      <c r="E78" s="9" t="s">
        <v>18</v>
      </c>
      <c r="F78" s="9" t="s">
        <v>269</v>
      </c>
      <c r="G78" s="9" t="s">
        <v>270</v>
      </c>
      <c r="H78" s="9" t="s">
        <v>61</v>
      </c>
      <c r="I78" s="9" t="s">
        <v>271</v>
      </c>
    </row>
    <row r="79" spans="1:9" ht="28.8" x14ac:dyDescent="0.3">
      <c r="A79" s="9" t="s">
        <v>14</v>
      </c>
      <c r="B79" s="9" t="s">
        <v>32</v>
      </c>
      <c r="C79" s="9" t="s">
        <v>251</v>
      </c>
      <c r="D79" s="9" t="s">
        <v>272</v>
      </c>
      <c r="E79" s="9" t="s">
        <v>18</v>
      </c>
      <c r="F79" s="9" t="s">
        <v>273</v>
      </c>
      <c r="G79" s="9" t="s">
        <v>274</v>
      </c>
      <c r="H79" s="9" t="s">
        <v>61</v>
      </c>
      <c r="I79" s="9" t="s">
        <v>275</v>
      </c>
    </row>
    <row r="80" spans="1:9" ht="57.6" x14ac:dyDescent="0.3">
      <c r="A80" s="9" t="s">
        <v>14</v>
      </c>
      <c r="B80" s="9" t="s">
        <v>32</v>
      </c>
      <c r="C80" s="9" t="s">
        <v>251</v>
      </c>
      <c r="D80" s="9" t="s">
        <v>163</v>
      </c>
      <c r="E80" s="9" t="s">
        <v>18</v>
      </c>
      <c r="F80" s="9" t="s">
        <v>276</v>
      </c>
      <c r="G80" s="9" t="s">
        <v>277</v>
      </c>
      <c r="H80" s="9" t="s">
        <v>61</v>
      </c>
      <c r="I80" s="9"/>
    </row>
    <row r="81" spans="1:9" ht="43.2" x14ac:dyDescent="0.3">
      <c r="A81" s="9" t="s">
        <v>14</v>
      </c>
      <c r="B81" s="9" t="s">
        <v>32</v>
      </c>
      <c r="C81" s="9" t="s">
        <v>251</v>
      </c>
      <c r="D81" s="9" t="s">
        <v>167</v>
      </c>
      <c r="E81" s="9" t="s">
        <v>18</v>
      </c>
      <c r="F81" s="9" t="s">
        <v>278</v>
      </c>
      <c r="G81" s="9" t="s">
        <v>279</v>
      </c>
      <c r="H81" s="9" t="s">
        <v>61</v>
      </c>
      <c r="I81" s="9"/>
    </row>
    <row r="82" spans="1:9" ht="57.6" x14ac:dyDescent="0.3">
      <c r="A82" s="9" t="s">
        <v>14</v>
      </c>
      <c r="B82" s="9" t="s">
        <v>34</v>
      </c>
      <c r="C82" s="9" t="s">
        <v>34</v>
      </c>
      <c r="D82" s="9" t="s">
        <v>199</v>
      </c>
      <c r="E82" s="9" t="s">
        <v>18</v>
      </c>
      <c r="F82" s="9" t="s">
        <v>280</v>
      </c>
      <c r="G82" s="9" t="s">
        <v>281</v>
      </c>
      <c r="H82" s="9" t="s">
        <v>61</v>
      </c>
      <c r="I82" s="9" t="s">
        <v>282</v>
      </c>
    </row>
    <row r="83" spans="1:9" ht="57.6" x14ac:dyDescent="0.3">
      <c r="A83" s="9" t="s">
        <v>14</v>
      </c>
      <c r="B83" s="9" t="s">
        <v>34</v>
      </c>
      <c r="C83" s="9" t="s">
        <v>34</v>
      </c>
      <c r="D83" s="9" t="s">
        <v>96</v>
      </c>
      <c r="E83" s="9" t="s">
        <v>18</v>
      </c>
      <c r="F83" s="9" t="s">
        <v>283</v>
      </c>
      <c r="G83" s="9" t="s">
        <v>284</v>
      </c>
      <c r="H83" s="9" t="s">
        <v>61</v>
      </c>
      <c r="I83" s="9" t="s">
        <v>285</v>
      </c>
    </row>
    <row r="84" spans="1:9" ht="72" x14ac:dyDescent="0.3">
      <c r="A84" s="9" t="s">
        <v>14</v>
      </c>
      <c r="B84" s="9" t="s">
        <v>34</v>
      </c>
      <c r="C84" s="9" t="s">
        <v>34</v>
      </c>
      <c r="D84" s="9" t="s">
        <v>113</v>
      </c>
      <c r="E84" s="9" t="s">
        <v>18</v>
      </c>
      <c r="F84" s="9" t="s">
        <v>286</v>
      </c>
      <c r="G84" s="9" t="s">
        <v>287</v>
      </c>
      <c r="H84" s="9" t="s">
        <v>61</v>
      </c>
      <c r="I84" s="9" t="s">
        <v>288</v>
      </c>
    </row>
    <row r="85" spans="1:9" ht="72" x14ac:dyDescent="0.3">
      <c r="A85" s="9" t="s">
        <v>14</v>
      </c>
      <c r="B85" s="9" t="s">
        <v>34</v>
      </c>
      <c r="C85" s="9" t="s">
        <v>34</v>
      </c>
      <c r="D85" s="9" t="s">
        <v>73</v>
      </c>
      <c r="E85" s="9" t="s">
        <v>18</v>
      </c>
      <c r="F85" s="9" t="s">
        <v>289</v>
      </c>
      <c r="G85" s="9" t="s">
        <v>290</v>
      </c>
      <c r="H85" s="9" t="s">
        <v>61</v>
      </c>
      <c r="I85" s="9" t="s">
        <v>291</v>
      </c>
    </row>
    <row r="86" spans="1:9" ht="43.2" x14ac:dyDescent="0.3">
      <c r="A86" s="9" t="s">
        <v>14</v>
      </c>
      <c r="B86" s="9" t="s">
        <v>34</v>
      </c>
      <c r="C86" s="9" t="s">
        <v>34</v>
      </c>
      <c r="D86" s="9" t="s">
        <v>76</v>
      </c>
      <c r="E86" s="9" t="s">
        <v>18</v>
      </c>
      <c r="F86" s="9" t="s">
        <v>292</v>
      </c>
      <c r="G86" s="9" t="s">
        <v>293</v>
      </c>
      <c r="H86" s="9" t="s">
        <v>61</v>
      </c>
      <c r="I86" s="9" t="s">
        <v>294</v>
      </c>
    </row>
    <row r="87" spans="1:9" ht="100.8" x14ac:dyDescent="0.3">
      <c r="A87" s="9" t="s">
        <v>14</v>
      </c>
      <c r="B87" s="9" t="s">
        <v>34</v>
      </c>
      <c r="C87" s="9" t="s">
        <v>34</v>
      </c>
      <c r="D87" s="9" t="s">
        <v>88</v>
      </c>
      <c r="E87" s="9" t="s">
        <v>18</v>
      </c>
      <c r="F87" s="9" t="s">
        <v>295</v>
      </c>
      <c r="G87" s="9" t="s">
        <v>296</v>
      </c>
      <c r="H87" s="9" t="s">
        <v>61</v>
      </c>
      <c r="I87" s="9" t="s">
        <v>297</v>
      </c>
    </row>
    <row r="88" spans="1:9" ht="72" x14ac:dyDescent="0.3">
      <c r="A88" s="9" t="s">
        <v>14</v>
      </c>
      <c r="B88" s="9" t="s">
        <v>35</v>
      </c>
      <c r="C88" s="9" t="s">
        <v>35</v>
      </c>
      <c r="D88" s="9" t="s">
        <v>99</v>
      </c>
      <c r="E88" s="9" t="s">
        <v>18</v>
      </c>
      <c r="F88" s="9" t="s">
        <v>298</v>
      </c>
      <c r="G88" s="9" t="s">
        <v>299</v>
      </c>
      <c r="H88" s="9" t="s">
        <v>61</v>
      </c>
      <c r="I88" s="9" t="s">
        <v>300</v>
      </c>
    </row>
    <row r="89" spans="1:9" ht="72" x14ac:dyDescent="0.3">
      <c r="A89" s="9" t="s">
        <v>14</v>
      </c>
      <c r="B89" s="9" t="s">
        <v>35</v>
      </c>
      <c r="C89" s="9" t="s">
        <v>35</v>
      </c>
      <c r="D89" s="9" t="s">
        <v>80</v>
      </c>
      <c r="E89" s="9" t="s">
        <v>18</v>
      </c>
      <c r="F89" s="9" t="s">
        <v>301</v>
      </c>
      <c r="G89" s="9" t="s">
        <v>302</v>
      </c>
      <c r="H89" s="9" t="s">
        <v>61</v>
      </c>
      <c r="I89" s="9" t="s">
        <v>300</v>
      </c>
    </row>
    <row r="90" spans="1:9" ht="72" x14ac:dyDescent="0.3">
      <c r="A90" s="9" t="s">
        <v>14</v>
      </c>
      <c r="B90" s="9" t="s">
        <v>35</v>
      </c>
      <c r="C90" s="9" t="s">
        <v>35</v>
      </c>
      <c r="D90" s="9" t="s">
        <v>118</v>
      </c>
      <c r="E90" s="9" t="s">
        <v>18</v>
      </c>
      <c r="F90" s="9" t="s">
        <v>303</v>
      </c>
      <c r="G90" s="9" t="s">
        <v>304</v>
      </c>
      <c r="H90" s="9" t="s">
        <v>61</v>
      </c>
      <c r="I90" s="9" t="s">
        <v>305</v>
      </c>
    </row>
    <row r="91" spans="1:9" ht="57.6" x14ac:dyDescent="0.3">
      <c r="A91" s="9" t="s">
        <v>14</v>
      </c>
      <c r="B91" s="9" t="s">
        <v>35</v>
      </c>
      <c r="C91" s="9" t="s">
        <v>306</v>
      </c>
      <c r="D91" s="9" t="s">
        <v>93</v>
      </c>
      <c r="E91" s="9" t="s">
        <v>18</v>
      </c>
      <c r="F91" s="9" t="s">
        <v>307</v>
      </c>
      <c r="G91" s="9" t="s">
        <v>308</v>
      </c>
      <c r="H91" s="9" t="s">
        <v>61</v>
      </c>
      <c r="I91" s="9" t="s">
        <v>309</v>
      </c>
    </row>
    <row r="92" spans="1:9" ht="57.6" x14ac:dyDescent="0.3">
      <c r="A92" s="9" t="s">
        <v>14</v>
      </c>
      <c r="B92" s="9" t="s">
        <v>35</v>
      </c>
      <c r="C92" s="9" t="s">
        <v>306</v>
      </c>
      <c r="D92" s="9" t="s">
        <v>199</v>
      </c>
      <c r="E92" s="9" t="s">
        <v>18</v>
      </c>
      <c r="F92" s="9" t="s">
        <v>310</v>
      </c>
      <c r="G92" s="9" t="s">
        <v>311</v>
      </c>
      <c r="H92" s="9" t="s">
        <v>61</v>
      </c>
      <c r="I92" s="9" t="s">
        <v>309</v>
      </c>
    </row>
    <row r="93" spans="1:9" ht="72" x14ac:dyDescent="0.3">
      <c r="A93" s="9" t="s">
        <v>14</v>
      </c>
      <c r="B93" s="9" t="s">
        <v>35</v>
      </c>
      <c r="C93" s="9" t="s">
        <v>306</v>
      </c>
      <c r="D93" s="9" t="s">
        <v>96</v>
      </c>
      <c r="E93" s="9" t="s">
        <v>18</v>
      </c>
      <c r="F93" s="9" t="s">
        <v>312</v>
      </c>
      <c r="G93" s="9" t="s">
        <v>313</v>
      </c>
      <c r="H93" s="9" t="s">
        <v>61</v>
      </c>
      <c r="I93" s="9" t="s">
        <v>309</v>
      </c>
    </row>
    <row r="94" spans="1:9" ht="72" x14ac:dyDescent="0.3">
      <c r="A94" s="9" t="s">
        <v>14</v>
      </c>
      <c r="B94" s="9" t="s">
        <v>35</v>
      </c>
      <c r="C94" s="9" t="s">
        <v>306</v>
      </c>
      <c r="D94" s="9" t="s">
        <v>113</v>
      </c>
      <c r="E94" s="9" t="s">
        <v>18</v>
      </c>
      <c r="F94" s="9" t="s">
        <v>314</v>
      </c>
      <c r="G94" s="9" t="s">
        <v>315</v>
      </c>
      <c r="H94" s="9" t="s">
        <v>61</v>
      </c>
      <c r="I94" s="9" t="s">
        <v>309</v>
      </c>
    </row>
    <row r="95" spans="1:9" ht="57.6" x14ac:dyDescent="0.3">
      <c r="A95" s="9" t="s">
        <v>14</v>
      </c>
      <c r="B95" s="9" t="s">
        <v>35</v>
      </c>
      <c r="C95" s="9" t="s">
        <v>316</v>
      </c>
      <c r="D95" s="9" t="s">
        <v>199</v>
      </c>
      <c r="E95" s="9" t="s">
        <v>18</v>
      </c>
      <c r="F95" s="9" t="s">
        <v>317</v>
      </c>
      <c r="G95" s="9" t="s">
        <v>318</v>
      </c>
      <c r="H95" s="9" t="s">
        <v>61</v>
      </c>
      <c r="I95" s="9" t="s">
        <v>319</v>
      </c>
    </row>
    <row r="96" spans="1:9" ht="43.2" x14ac:dyDescent="0.3">
      <c r="A96" s="9" t="s">
        <v>14</v>
      </c>
      <c r="B96" s="9" t="s">
        <v>35</v>
      </c>
      <c r="C96" s="9" t="s">
        <v>316</v>
      </c>
      <c r="D96" s="9" t="s">
        <v>96</v>
      </c>
      <c r="E96" s="9" t="s">
        <v>18</v>
      </c>
      <c r="F96" s="9" t="s">
        <v>320</v>
      </c>
      <c r="G96" s="9" t="s">
        <v>321</v>
      </c>
      <c r="H96" s="9" t="s">
        <v>61</v>
      </c>
      <c r="I96" s="9"/>
    </row>
    <row r="97" spans="1:9" ht="43.2" x14ac:dyDescent="0.3">
      <c r="A97" s="9" t="s">
        <v>14</v>
      </c>
      <c r="B97" s="9" t="s">
        <v>36</v>
      </c>
      <c r="C97" s="9" t="s">
        <v>322</v>
      </c>
      <c r="D97" s="9" t="s">
        <v>113</v>
      </c>
      <c r="E97" s="9" t="s">
        <v>18</v>
      </c>
      <c r="F97" s="9" t="s">
        <v>323</v>
      </c>
      <c r="G97" s="9" t="s">
        <v>324</v>
      </c>
      <c r="H97" s="9" t="s">
        <v>61</v>
      </c>
      <c r="I97" s="9" t="s">
        <v>325</v>
      </c>
    </row>
    <row r="98" spans="1:9" ht="72" x14ac:dyDescent="0.3">
      <c r="A98" s="9" t="s">
        <v>14</v>
      </c>
      <c r="B98" s="9" t="s">
        <v>36</v>
      </c>
      <c r="C98" s="9" t="s">
        <v>322</v>
      </c>
      <c r="D98" s="9" t="s">
        <v>70</v>
      </c>
      <c r="E98" s="9" t="s">
        <v>18</v>
      </c>
      <c r="F98" s="9" t="s">
        <v>326</v>
      </c>
      <c r="G98" s="9" t="s">
        <v>327</v>
      </c>
      <c r="H98" s="9" t="s">
        <v>61</v>
      </c>
      <c r="I98" s="9" t="s">
        <v>328</v>
      </c>
    </row>
    <row r="99" spans="1:9" ht="28.8" x14ac:dyDescent="0.3">
      <c r="A99" s="9" t="s">
        <v>14</v>
      </c>
      <c r="B99" s="9" t="s">
        <v>36</v>
      </c>
      <c r="C99" s="9" t="s">
        <v>329</v>
      </c>
      <c r="D99" s="9" t="s">
        <v>199</v>
      </c>
      <c r="E99" s="9" t="s">
        <v>18</v>
      </c>
      <c r="F99" s="9" t="s">
        <v>330</v>
      </c>
      <c r="G99" s="9" t="s">
        <v>331</v>
      </c>
      <c r="H99" s="9" t="s">
        <v>61</v>
      </c>
      <c r="I99" s="9" t="s">
        <v>332</v>
      </c>
    </row>
    <row r="100" spans="1:9" ht="43.2" x14ac:dyDescent="0.3">
      <c r="A100" s="9" t="s">
        <v>14</v>
      </c>
      <c r="B100" s="9" t="s">
        <v>36</v>
      </c>
      <c r="C100" s="9" t="s">
        <v>329</v>
      </c>
      <c r="D100" s="9" t="s">
        <v>99</v>
      </c>
      <c r="E100" s="9" t="s">
        <v>18</v>
      </c>
      <c r="F100" s="9" t="s">
        <v>333</v>
      </c>
      <c r="G100" s="9" t="s">
        <v>334</v>
      </c>
      <c r="H100" s="9" t="s">
        <v>61</v>
      </c>
      <c r="I100" s="9" t="s">
        <v>335</v>
      </c>
    </row>
    <row r="101" spans="1:9" ht="28.8" x14ac:dyDescent="0.3">
      <c r="A101" s="9" t="s">
        <v>14</v>
      </c>
      <c r="B101" s="9" t="s">
        <v>36</v>
      </c>
      <c r="C101" s="9" t="s">
        <v>329</v>
      </c>
      <c r="D101" s="9" t="s">
        <v>80</v>
      </c>
      <c r="E101" s="9" t="s">
        <v>18</v>
      </c>
      <c r="F101" s="9" t="s">
        <v>336</v>
      </c>
      <c r="G101" s="9" t="s">
        <v>337</v>
      </c>
      <c r="H101" s="9" t="s">
        <v>61</v>
      </c>
      <c r="I101" s="9" t="s">
        <v>338</v>
      </c>
    </row>
    <row r="102" spans="1:9" ht="28.8" x14ac:dyDescent="0.3">
      <c r="A102" s="9" t="s">
        <v>14</v>
      </c>
      <c r="B102" s="9" t="s">
        <v>36</v>
      </c>
      <c r="C102" s="9" t="s">
        <v>329</v>
      </c>
      <c r="D102" s="9" t="s">
        <v>118</v>
      </c>
      <c r="E102" s="9" t="s">
        <v>18</v>
      </c>
      <c r="F102" s="9" t="s">
        <v>339</v>
      </c>
      <c r="G102" s="9" t="s">
        <v>340</v>
      </c>
      <c r="H102" s="9" t="s">
        <v>61</v>
      </c>
      <c r="I102" s="9" t="s">
        <v>341</v>
      </c>
    </row>
    <row r="103" spans="1:9" ht="86.4" x14ac:dyDescent="0.3">
      <c r="A103" s="9" t="s">
        <v>14</v>
      </c>
      <c r="B103" s="9" t="s">
        <v>36</v>
      </c>
      <c r="C103" s="9" t="s">
        <v>329</v>
      </c>
      <c r="D103" s="9" t="s">
        <v>70</v>
      </c>
      <c r="E103" s="9" t="s">
        <v>18</v>
      </c>
      <c r="F103" s="9" t="s">
        <v>342</v>
      </c>
      <c r="G103" s="9" t="s">
        <v>343</v>
      </c>
      <c r="H103" s="9" t="s">
        <v>61</v>
      </c>
      <c r="I103" s="9" t="s">
        <v>344</v>
      </c>
    </row>
    <row r="104" spans="1:9" ht="57.6" x14ac:dyDescent="0.3">
      <c r="A104" s="9" t="s">
        <v>14</v>
      </c>
      <c r="B104" s="9" t="s">
        <v>36</v>
      </c>
      <c r="C104" s="9" t="s">
        <v>45</v>
      </c>
      <c r="D104" s="9" t="s">
        <v>76</v>
      </c>
      <c r="E104" s="9" t="s">
        <v>18</v>
      </c>
      <c r="F104" s="9" t="s">
        <v>345</v>
      </c>
      <c r="G104" s="9" t="s">
        <v>346</v>
      </c>
      <c r="H104" s="9" t="s">
        <v>61</v>
      </c>
      <c r="I104" s="9" t="s">
        <v>347</v>
      </c>
    </row>
    <row r="105" spans="1:9" ht="28.8" x14ac:dyDescent="0.3">
      <c r="A105" s="9" t="s">
        <v>14</v>
      </c>
      <c r="B105" s="9" t="s">
        <v>36</v>
      </c>
      <c r="C105" s="9" t="s">
        <v>348</v>
      </c>
      <c r="D105" s="9" t="s">
        <v>99</v>
      </c>
      <c r="E105" s="9" t="s">
        <v>18</v>
      </c>
      <c r="F105" s="9" t="s">
        <v>349</v>
      </c>
      <c r="G105" s="9" t="s">
        <v>350</v>
      </c>
      <c r="H105" s="9" t="s">
        <v>61</v>
      </c>
      <c r="I105" s="9" t="s">
        <v>351</v>
      </c>
    </row>
    <row r="106" spans="1:9" ht="28.8" x14ac:dyDescent="0.3">
      <c r="A106" s="9" t="s">
        <v>14</v>
      </c>
      <c r="B106" s="9" t="s">
        <v>36</v>
      </c>
      <c r="C106" s="9" t="s">
        <v>348</v>
      </c>
      <c r="D106" s="9" t="s">
        <v>118</v>
      </c>
      <c r="E106" s="9" t="s">
        <v>18</v>
      </c>
      <c r="F106" s="9" t="s">
        <v>352</v>
      </c>
      <c r="G106" s="9" t="s">
        <v>327</v>
      </c>
      <c r="H106" s="9" t="s">
        <v>61</v>
      </c>
      <c r="I106" s="9" t="s">
        <v>353</v>
      </c>
    </row>
    <row r="107" spans="1:9" ht="28.8" x14ac:dyDescent="0.3">
      <c r="A107" s="9" t="s">
        <v>14</v>
      </c>
      <c r="B107" s="9" t="s">
        <v>36</v>
      </c>
      <c r="C107" s="9" t="s">
        <v>348</v>
      </c>
      <c r="D107" s="9" t="s">
        <v>58</v>
      </c>
      <c r="E107" s="9" t="s">
        <v>18</v>
      </c>
      <c r="F107" s="9" t="s">
        <v>354</v>
      </c>
      <c r="G107" s="9" t="s">
        <v>355</v>
      </c>
      <c r="H107" s="9" t="s">
        <v>61</v>
      </c>
      <c r="I107" s="9" t="s">
        <v>356</v>
      </c>
    </row>
    <row r="108" spans="1:9" ht="115.2" x14ac:dyDescent="0.3">
      <c r="A108" s="9" t="s">
        <v>14</v>
      </c>
      <c r="B108" s="9" t="s">
        <v>37</v>
      </c>
      <c r="C108" s="9" t="s">
        <v>357</v>
      </c>
      <c r="D108" s="9" t="s">
        <v>113</v>
      </c>
      <c r="E108" s="9" t="s">
        <v>18</v>
      </c>
      <c r="F108" s="9" t="s">
        <v>358</v>
      </c>
      <c r="G108" s="9" t="s">
        <v>359</v>
      </c>
      <c r="H108" s="9" t="s">
        <v>61</v>
      </c>
      <c r="I108" s="9" t="s">
        <v>360</v>
      </c>
    </row>
    <row r="109" spans="1:9" ht="43.2" x14ac:dyDescent="0.3">
      <c r="A109" s="9" t="s">
        <v>14</v>
      </c>
      <c r="B109" s="9" t="s">
        <v>37</v>
      </c>
      <c r="C109" s="9" t="s">
        <v>361</v>
      </c>
      <c r="D109" s="9" t="s">
        <v>105</v>
      </c>
      <c r="E109" s="9" t="s">
        <v>18</v>
      </c>
      <c r="F109" s="9" t="s">
        <v>362</v>
      </c>
      <c r="G109" s="9" t="s">
        <v>363</v>
      </c>
      <c r="H109" s="9" t="s">
        <v>61</v>
      </c>
      <c r="I109" s="9" t="s">
        <v>364</v>
      </c>
    </row>
    <row r="110" spans="1:9" ht="72" x14ac:dyDescent="0.3">
      <c r="A110" s="9" t="s">
        <v>14</v>
      </c>
      <c r="B110" s="9" t="s">
        <v>37</v>
      </c>
      <c r="C110" s="9" t="s">
        <v>361</v>
      </c>
      <c r="D110" s="9" t="s">
        <v>58</v>
      </c>
      <c r="E110" s="9" t="s">
        <v>18</v>
      </c>
      <c r="F110" s="9" t="s">
        <v>365</v>
      </c>
      <c r="G110" s="9" t="s">
        <v>366</v>
      </c>
      <c r="H110" s="9" t="s">
        <v>61</v>
      </c>
      <c r="I110" s="9" t="s">
        <v>367</v>
      </c>
    </row>
    <row r="111" spans="1:9" ht="115.2" x14ac:dyDescent="0.3">
      <c r="A111" s="9" t="s">
        <v>14</v>
      </c>
      <c r="B111" s="9" t="s">
        <v>37</v>
      </c>
      <c r="C111" s="9" t="s">
        <v>368</v>
      </c>
      <c r="D111" s="9" t="s">
        <v>148</v>
      </c>
      <c r="E111" s="9" t="s">
        <v>18</v>
      </c>
      <c r="F111" s="9" t="s">
        <v>369</v>
      </c>
      <c r="G111" s="9" t="s">
        <v>370</v>
      </c>
      <c r="H111" s="9" t="s">
        <v>61</v>
      </c>
      <c r="I111" s="9" t="s">
        <v>371</v>
      </c>
    </row>
    <row r="112" spans="1:9" ht="43.2" x14ac:dyDescent="0.3">
      <c r="A112" s="9" t="s">
        <v>14</v>
      </c>
      <c r="B112" s="9" t="s">
        <v>37</v>
      </c>
      <c r="C112" s="9" t="s">
        <v>372</v>
      </c>
      <c r="D112" s="9" t="s">
        <v>96</v>
      </c>
      <c r="E112" s="9" t="s">
        <v>18</v>
      </c>
      <c r="F112" s="9" t="s">
        <v>373</v>
      </c>
      <c r="G112" s="9" t="s">
        <v>374</v>
      </c>
      <c r="H112" s="9" t="s">
        <v>61</v>
      </c>
      <c r="I112" s="9" t="s">
        <v>375</v>
      </c>
    </row>
    <row r="113" spans="1:9" ht="43.2" x14ac:dyDescent="0.3">
      <c r="A113" s="9" t="s">
        <v>14</v>
      </c>
      <c r="B113" s="9" t="s">
        <v>37</v>
      </c>
      <c r="C113" s="9" t="s">
        <v>372</v>
      </c>
      <c r="D113" s="9" t="s">
        <v>113</v>
      </c>
      <c r="E113" s="9" t="s">
        <v>18</v>
      </c>
      <c r="F113" s="9" t="s">
        <v>376</v>
      </c>
      <c r="G113" s="9" t="s">
        <v>377</v>
      </c>
      <c r="H113" s="9" t="s">
        <v>61</v>
      </c>
      <c r="I113" s="9" t="s">
        <v>378</v>
      </c>
    </row>
    <row r="114" spans="1:9" ht="201.6" x14ac:dyDescent="0.3">
      <c r="A114" s="9" t="s">
        <v>14</v>
      </c>
      <c r="B114" s="9" t="s">
        <v>37</v>
      </c>
      <c r="C114" s="9" t="s">
        <v>372</v>
      </c>
      <c r="D114" s="9" t="s">
        <v>99</v>
      </c>
      <c r="E114" s="9" t="s">
        <v>18</v>
      </c>
      <c r="F114" s="9" t="s">
        <v>379</v>
      </c>
      <c r="G114" s="9" t="s">
        <v>380</v>
      </c>
      <c r="H114" s="9" t="s">
        <v>61</v>
      </c>
      <c r="I114" s="9" t="s">
        <v>381</v>
      </c>
    </row>
    <row r="115" spans="1:9" ht="28.8" x14ac:dyDescent="0.3">
      <c r="A115" s="9" t="s">
        <v>14</v>
      </c>
      <c r="B115" s="9" t="s">
        <v>37</v>
      </c>
      <c r="C115" s="9" t="s">
        <v>372</v>
      </c>
      <c r="D115" s="9" t="s">
        <v>105</v>
      </c>
      <c r="E115" s="9" t="s">
        <v>18</v>
      </c>
      <c r="F115" s="9" t="s">
        <v>382</v>
      </c>
      <c r="G115" s="9" t="s">
        <v>383</v>
      </c>
      <c r="H115" s="9" t="s">
        <v>61</v>
      </c>
      <c r="I115" s="9" t="s">
        <v>384</v>
      </c>
    </row>
    <row r="116" spans="1:9" ht="28.8" x14ac:dyDescent="0.3">
      <c r="A116" s="9" t="s">
        <v>14</v>
      </c>
      <c r="B116" s="9" t="s">
        <v>37</v>
      </c>
      <c r="C116" s="9" t="s">
        <v>385</v>
      </c>
      <c r="D116" s="9" t="s">
        <v>113</v>
      </c>
      <c r="E116" s="9" t="s">
        <v>18</v>
      </c>
      <c r="F116" s="9" t="s">
        <v>382</v>
      </c>
      <c r="G116" s="9" t="s">
        <v>383</v>
      </c>
      <c r="H116" s="9" t="s">
        <v>61</v>
      </c>
      <c r="I116" s="9" t="s">
        <v>384</v>
      </c>
    </row>
    <row r="117" spans="1:9" ht="43.2" x14ac:dyDescent="0.3">
      <c r="A117" s="9" t="s">
        <v>14</v>
      </c>
      <c r="B117" s="9" t="s">
        <v>37</v>
      </c>
      <c r="C117" s="9" t="s">
        <v>386</v>
      </c>
      <c r="D117" s="9" t="s">
        <v>199</v>
      </c>
      <c r="E117" s="9" t="s">
        <v>18</v>
      </c>
      <c r="F117" s="9" t="s">
        <v>387</v>
      </c>
      <c r="G117" s="9" t="s">
        <v>388</v>
      </c>
      <c r="H117" s="9" t="s">
        <v>61</v>
      </c>
      <c r="I117" s="9" t="s">
        <v>389</v>
      </c>
    </row>
    <row r="118" spans="1:9" ht="28.8" x14ac:dyDescent="0.3">
      <c r="A118" s="9" t="s">
        <v>14</v>
      </c>
      <c r="B118" s="9" t="s">
        <v>37</v>
      </c>
      <c r="C118" s="9" t="s">
        <v>386</v>
      </c>
      <c r="D118" s="9" t="s">
        <v>76</v>
      </c>
      <c r="E118" s="9" t="s">
        <v>18</v>
      </c>
      <c r="F118" s="9" t="s">
        <v>382</v>
      </c>
      <c r="G118" s="9" t="s">
        <v>383</v>
      </c>
      <c r="H118" s="9" t="s">
        <v>61</v>
      </c>
      <c r="I118" s="9" t="s">
        <v>384</v>
      </c>
    </row>
    <row r="119" spans="1:9" ht="43.2" x14ac:dyDescent="0.3">
      <c r="A119" s="9" t="s">
        <v>14</v>
      </c>
      <c r="B119" s="9" t="s">
        <v>37</v>
      </c>
      <c r="C119" s="9" t="s">
        <v>390</v>
      </c>
      <c r="D119" s="9" t="s">
        <v>199</v>
      </c>
      <c r="E119" s="9" t="s">
        <v>18</v>
      </c>
      <c r="F119" s="9" t="s">
        <v>391</v>
      </c>
      <c r="G119" s="9" t="s">
        <v>388</v>
      </c>
      <c r="H119" s="9" t="s">
        <v>61</v>
      </c>
      <c r="I119" s="9" t="s">
        <v>389</v>
      </c>
    </row>
    <row r="120" spans="1:9" ht="28.8" x14ac:dyDescent="0.3">
      <c r="A120" s="9" t="s">
        <v>14</v>
      </c>
      <c r="B120" s="9" t="s">
        <v>37</v>
      </c>
      <c r="C120" s="9" t="s">
        <v>390</v>
      </c>
      <c r="D120" s="9" t="s">
        <v>73</v>
      </c>
      <c r="E120" s="9" t="s">
        <v>18</v>
      </c>
      <c r="F120" s="9" t="s">
        <v>382</v>
      </c>
      <c r="G120" s="9" t="s">
        <v>383</v>
      </c>
      <c r="H120" s="9" t="s">
        <v>61</v>
      </c>
      <c r="I120" s="9" t="s">
        <v>384</v>
      </c>
    </row>
    <row r="121" spans="1:9" ht="43.2" x14ac:dyDescent="0.3">
      <c r="A121" s="9" t="s">
        <v>14</v>
      </c>
      <c r="B121" s="9" t="s">
        <v>37</v>
      </c>
      <c r="C121" s="9" t="s">
        <v>392</v>
      </c>
      <c r="D121" s="9" t="s">
        <v>199</v>
      </c>
      <c r="E121" s="9" t="s">
        <v>18</v>
      </c>
      <c r="F121" s="9" t="s">
        <v>393</v>
      </c>
      <c r="G121" s="9" t="s">
        <v>388</v>
      </c>
      <c r="H121" s="9" t="s">
        <v>61</v>
      </c>
      <c r="I121" s="9" t="s">
        <v>394</v>
      </c>
    </row>
    <row r="122" spans="1:9" ht="144" x14ac:dyDescent="0.3">
      <c r="A122" s="9" t="s">
        <v>14</v>
      </c>
      <c r="B122" s="9" t="s">
        <v>38</v>
      </c>
      <c r="C122" s="9" t="s">
        <v>395</v>
      </c>
      <c r="D122" s="9" t="s">
        <v>80</v>
      </c>
      <c r="E122" s="9" t="s">
        <v>18</v>
      </c>
      <c r="F122" s="9" t="s">
        <v>396</v>
      </c>
      <c r="G122" s="9" t="s">
        <v>397</v>
      </c>
      <c r="H122" s="9" t="s">
        <v>61</v>
      </c>
      <c r="I122" s="9" t="s">
        <v>398</v>
      </c>
    </row>
    <row r="123" spans="1:9" ht="28.8" x14ac:dyDescent="0.3">
      <c r="A123" s="9" t="s">
        <v>14</v>
      </c>
      <c r="B123" s="9" t="s">
        <v>38</v>
      </c>
      <c r="C123" s="9" t="s">
        <v>198</v>
      </c>
      <c r="D123" s="9" t="s">
        <v>93</v>
      </c>
      <c r="E123" s="9" t="s">
        <v>18</v>
      </c>
      <c r="F123" s="9" t="s">
        <v>399</v>
      </c>
      <c r="G123" s="9" t="s">
        <v>400</v>
      </c>
      <c r="H123" s="9" t="s">
        <v>61</v>
      </c>
      <c r="I123" s="9"/>
    </row>
    <row r="124" spans="1:9" ht="28.8" x14ac:dyDescent="0.3">
      <c r="A124" s="9" t="s">
        <v>14</v>
      </c>
      <c r="B124" s="9" t="s">
        <v>38</v>
      </c>
      <c r="C124" s="9" t="s">
        <v>198</v>
      </c>
      <c r="D124" s="9" t="s">
        <v>199</v>
      </c>
      <c r="E124" s="9" t="s">
        <v>18</v>
      </c>
      <c r="F124" s="9" t="s">
        <v>401</v>
      </c>
      <c r="G124" s="9" t="s">
        <v>402</v>
      </c>
      <c r="H124" s="9" t="s">
        <v>61</v>
      </c>
      <c r="I124" s="9"/>
    </row>
    <row r="125" spans="1:9" ht="28.8" x14ac:dyDescent="0.3">
      <c r="A125" s="9" t="s">
        <v>14</v>
      </c>
      <c r="B125" s="9" t="s">
        <v>38</v>
      </c>
      <c r="C125" s="9" t="s">
        <v>198</v>
      </c>
      <c r="D125" s="9" t="s">
        <v>96</v>
      </c>
      <c r="E125" s="9" t="s">
        <v>18</v>
      </c>
      <c r="F125" s="9" t="s">
        <v>403</v>
      </c>
      <c r="G125" s="9" t="s">
        <v>404</v>
      </c>
      <c r="H125" s="9" t="s">
        <v>61</v>
      </c>
      <c r="I125" s="9"/>
    </row>
    <row r="126" spans="1:9" ht="115.2" x14ac:dyDescent="0.3">
      <c r="A126" s="9" t="s">
        <v>14</v>
      </c>
      <c r="B126" s="9" t="s">
        <v>40</v>
      </c>
      <c r="C126" s="9" t="s">
        <v>40</v>
      </c>
      <c r="D126" s="9" t="s">
        <v>199</v>
      </c>
      <c r="E126" s="9" t="s">
        <v>18</v>
      </c>
      <c r="F126" s="9" t="s">
        <v>405</v>
      </c>
      <c r="G126" s="9" t="s">
        <v>406</v>
      </c>
      <c r="H126" s="9" t="s">
        <v>61</v>
      </c>
      <c r="I126" s="9" t="s">
        <v>407</v>
      </c>
    </row>
    <row r="127" spans="1:9" ht="144" x14ac:dyDescent="0.3">
      <c r="A127" s="9" t="s">
        <v>14</v>
      </c>
      <c r="B127" s="9" t="s">
        <v>40</v>
      </c>
      <c r="C127" s="9" t="s">
        <v>40</v>
      </c>
      <c r="D127" s="9" t="s">
        <v>99</v>
      </c>
      <c r="E127" s="9" t="s">
        <v>18</v>
      </c>
      <c r="F127" s="9" t="s">
        <v>408</v>
      </c>
      <c r="G127" s="9" t="s">
        <v>409</v>
      </c>
      <c r="H127" s="9" t="s">
        <v>61</v>
      </c>
      <c r="I127" s="9" t="s">
        <v>410</v>
      </c>
    </row>
    <row r="128" spans="1:9" ht="28.8" x14ac:dyDescent="0.3">
      <c r="A128" s="9" t="s">
        <v>14</v>
      </c>
      <c r="B128" s="9" t="s">
        <v>40</v>
      </c>
      <c r="C128" s="9" t="s">
        <v>40</v>
      </c>
      <c r="D128" s="9" t="s">
        <v>80</v>
      </c>
      <c r="E128" s="9" t="s">
        <v>18</v>
      </c>
      <c r="F128" s="9" t="s">
        <v>411</v>
      </c>
      <c r="G128" s="9" t="s">
        <v>412</v>
      </c>
      <c r="H128" s="9" t="s">
        <v>61</v>
      </c>
      <c r="I128" s="9" t="s">
        <v>413</v>
      </c>
    </row>
    <row r="129" spans="1:9" ht="28.8" x14ac:dyDescent="0.3">
      <c r="A129" s="9" t="s">
        <v>14</v>
      </c>
      <c r="B129" s="9" t="s">
        <v>41</v>
      </c>
      <c r="C129" s="9" t="s">
        <v>41</v>
      </c>
      <c r="D129" s="9" t="s">
        <v>199</v>
      </c>
      <c r="E129" s="9" t="s">
        <v>18</v>
      </c>
      <c r="F129" s="9" t="s">
        <v>414</v>
      </c>
      <c r="G129" s="9" t="s">
        <v>415</v>
      </c>
      <c r="H129" s="9" t="s">
        <v>61</v>
      </c>
      <c r="I129" s="9"/>
    </row>
    <row r="130" spans="1:9" ht="72" x14ac:dyDescent="0.3">
      <c r="A130" s="9" t="s">
        <v>14</v>
      </c>
      <c r="B130" s="9" t="s">
        <v>41</v>
      </c>
      <c r="C130" s="9" t="s">
        <v>41</v>
      </c>
      <c r="D130" s="9" t="s">
        <v>80</v>
      </c>
      <c r="E130" s="9" t="s">
        <v>18</v>
      </c>
      <c r="F130" s="9" t="s">
        <v>416</v>
      </c>
      <c r="G130" s="9" t="s">
        <v>417</v>
      </c>
      <c r="H130" s="9" t="s">
        <v>61</v>
      </c>
      <c r="I130" s="9" t="s">
        <v>418</v>
      </c>
    </row>
    <row r="131" spans="1:9" ht="144" x14ac:dyDescent="0.3">
      <c r="A131" s="9" t="s">
        <v>14</v>
      </c>
      <c r="B131" s="9" t="s">
        <v>41</v>
      </c>
      <c r="C131" s="9" t="s">
        <v>41</v>
      </c>
      <c r="D131" s="9" t="s">
        <v>76</v>
      </c>
      <c r="E131" s="9" t="s">
        <v>18</v>
      </c>
      <c r="F131" s="9" t="s">
        <v>419</v>
      </c>
      <c r="G131" s="9" t="s">
        <v>420</v>
      </c>
      <c r="H131" s="9" t="s">
        <v>61</v>
      </c>
      <c r="I131" s="9" t="s">
        <v>421</v>
      </c>
    </row>
    <row r="132" spans="1:9" ht="28.8" x14ac:dyDescent="0.3">
      <c r="A132" s="9" t="s">
        <v>14</v>
      </c>
      <c r="B132" s="9" t="s">
        <v>41</v>
      </c>
      <c r="C132" s="9" t="s">
        <v>41</v>
      </c>
      <c r="D132" s="9" t="s">
        <v>88</v>
      </c>
      <c r="E132" s="9" t="s">
        <v>18</v>
      </c>
      <c r="F132" s="9" t="s">
        <v>422</v>
      </c>
      <c r="G132" s="9" t="s">
        <v>423</v>
      </c>
      <c r="H132" s="9" t="s">
        <v>61</v>
      </c>
      <c r="I132" s="9" t="s">
        <v>424</v>
      </c>
    </row>
    <row r="133" spans="1:9" ht="28.8" x14ac:dyDescent="0.3">
      <c r="A133" s="9" t="s">
        <v>14</v>
      </c>
      <c r="B133" s="9" t="s">
        <v>41</v>
      </c>
      <c r="C133" s="9" t="s">
        <v>41</v>
      </c>
      <c r="D133" s="9" t="s">
        <v>261</v>
      </c>
      <c r="E133" s="9" t="s">
        <v>18</v>
      </c>
      <c r="F133" s="9" t="s">
        <v>425</v>
      </c>
      <c r="G133" s="9" t="s">
        <v>426</v>
      </c>
      <c r="H133" s="9" t="s">
        <v>61</v>
      </c>
      <c r="I133" s="9"/>
    </row>
    <row r="134" spans="1:9" ht="72" x14ac:dyDescent="0.3">
      <c r="A134" s="9" t="s">
        <v>15</v>
      </c>
      <c r="B134" s="9" t="s">
        <v>42</v>
      </c>
      <c r="C134" s="9" t="s">
        <v>427</v>
      </c>
      <c r="D134" s="9" t="s">
        <v>113</v>
      </c>
      <c r="E134" s="9" t="s">
        <v>18</v>
      </c>
      <c r="F134" s="9" t="s">
        <v>428</v>
      </c>
      <c r="G134" s="9" t="s">
        <v>429</v>
      </c>
      <c r="H134" s="9" t="s">
        <v>61</v>
      </c>
      <c r="I134" s="9" t="s">
        <v>430</v>
      </c>
    </row>
    <row r="135" spans="1:9" ht="43.2" x14ac:dyDescent="0.3">
      <c r="A135" s="9" t="s">
        <v>15</v>
      </c>
      <c r="B135" s="9" t="s">
        <v>42</v>
      </c>
      <c r="C135" s="9" t="s">
        <v>427</v>
      </c>
      <c r="D135" s="9" t="s">
        <v>70</v>
      </c>
      <c r="E135" s="9" t="s">
        <v>18</v>
      </c>
      <c r="F135" s="9" t="s">
        <v>431</v>
      </c>
      <c r="G135" s="9" t="s">
        <v>432</v>
      </c>
      <c r="H135" s="9" t="s">
        <v>61</v>
      </c>
      <c r="I135" s="9"/>
    </row>
    <row r="136" spans="1:9" ht="28.8" x14ac:dyDescent="0.3">
      <c r="A136" s="9" t="s">
        <v>15</v>
      </c>
      <c r="B136" s="9" t="s">
        <v>42</v>
      </c>
      <c r="C136" s="9" t="s">
        <v>427</v>
      </c>
      <c r="D136" s="9" t="s">
        <v>122</v>
      </c>
      <c r="E136" s="9" t="s">
        <v>18</v>
      </c>
      <c r="F136" s="9" t="s">
        <v>433</v>
      </c>
      <c r="G136" s="9" t="s">
        <v>434</v>
      </c>
      <c r="H136" s="9" t="s">
        <v>61</v>
      </c>
      <c r="I136" s="9" t="s">
        <v>435</v>
      </c>
    </row>
    <row r="137" spans="1:9" ht="28.8" x14ac:dyDescent="0.3">
      <c r="A137" s="9" t="s">
        <v>15</v>
      </c>
      <c r="B137" s="9" t="s">
        <v>42</v>
      </c>
      <c r="C137" s="9" t="s">
        <v>427</v>
      </c>
      <c r="D137" s="9" t="s">
        <v>261</v>
      </c>
      <c r="E137" s="9" t="s">
        <v>18</v>
      </c>
      <c r="F137" s="9" t="s">
        <v>436</v>
      </c>
      <c r="G137" s="9" t="s">
        <v>437</v>
      </c>
      <c r="H137" s="9" t="s">
        <v>61</v>
      </c>
      <c r="I137" s="9"/>
    </row>
    <row r="138" spans="1:9" ht="43.2" x14ac:dyDescent="0.3">
      <c r="A138" s="9" t="s">
        <v>15</v>
      </c>
      <c r="B138" s="9" t="s">
        <v>42</v>
      </c>
      <c r="C138" s="9" t="s">
        <v>438</v>
      </c>
      <c r="D138" s="9" t="s">
        <v>113</v>
      </c>
      <c r="E138" s="9" t="s">
        <v>18</v>
      </c>
      <c r="F138" s="9" t="s">
        <v>439</v>
      </c>
      <c r="G138" s="9" t="s">
        <v>440</v>
      </c>
      <c r="H138" s="9" t="s">
        <v>61</v>
      </c>
      <c r="I138" s="9" t="s">
        <v>441</v>
      </c>
    </row>
    <row r="139" spans="1:9" ht="100.8" x14ac:dyDescent="0.3">
      <c r="A139" s="9" t="s">
        <v>15</v>
      </c>
      <c r="B139" s="9" t="s">
        <v>42</v>
      </c>
      <c r="C139" s="9" t="s">
        <v>438</v>
      </c>
      <c r="D139" s="9" t="s">
        <v>90</v>
      </c>
      <c r="E139" s="9" t="s">
        <v>18</v>
      </c>
      <c r="F139" s="9" t="s">
        <v>442</v>
      </c>
      <c r="G139" s="9" t="s">
        <v>443</v>
      </c>
      <c r="H139" s="9" t="s">
        <v>61</v>
      </c>
      <c r="I139" s="9" t="s">
        <v>444</v>
      </c>
    </row>
    <row r="140" spans="1:9" ht="316.8" x14ac:dyDescent="0.3">
      <c r="A140" s="9" t="s">
        <v>15</v>
      </c>
      <c r="B140" s="9" t="s">
        <v>42</v>
      </c>
      <c r="C140" s="9" t="s">
        <v>438</v>
      </c>
      <c r="D140" s="9" t="s">
        <v>122</v>
      </c>
      <c r="E140" s="9" t="s">
        <v>18</v>
      </c>
      <c r="F140" s="9" t="s">
        <v>445</v>
      </c>
      <c r="G140" s="9" t="s">
        <v>446</v>
      </c>
      <c r="H140" s="9" t="s">
        <v>61</v>
      </c>
      <c r="I140" s="9" t="s">
        <v>447</v>
      </c>
    </row>
    <row r="141" spans="1:9" ht="100.8" x14ac:dyDescent="0.3">
      <c r="A141" s="9" t="s">
        <v>15</v>
      </c>
      <c r="B141" s="9" t="s">
        <v>42</v>
      </c>
      <c r="C141" s="9" t="s">
        <v>438</v>
      </c>
      <c r="D141" s="9" t="s">
        <v>268</v>
      </c>
      <c r="E141" s="9" t="s">
        <v>19</v>
      </c>
      <c r="F141" s="9" t="s">
        <v>448</v>
      </c>
      <c r="G141" s="9" t="s">
        <v>449</v>
      </c>
      <c r="H141" s="9" t="s">
        <v>61</v>
      </c>
      <c r="I141" s="9" t="s">
        <v>450</v>
      </c>
    </row>
    <row r="142" spans="1:9" ht="100.8" x14ac:dyDescent="0.3">
      <c r="A142" s="9" t="s">
        <v>15</v>
      </c>
      <c r="B142" s="9" t="s">
        <v>43</v>
      </c>
      <c r="C142" s="9" t="s">
        <v>43</v>
      </c>
      <c r="D142" s="9" t="s">
        <v>80</v>
      </c>
      <c r="E142" s="9" t="s">
        <v>18</v>
      </c>
      <c r="F142" s="9" t="s">
        <v>451</v>
      </c>
      <c r="G142" s="9" t="s">
        <v>452</v>
      </c>
      <c r="H142" s="9" t="s">
        <v>61</v>
      </c>
      <c r="I142" s="9" t="s">
        <v>453</v>
      </c>
    </row>
    <row r="143" spans="1:9" ht="43.2" x14ac:dyDescent="0.3">
      <c r="A143" s="9" t="s">
        <v>15</v>
      </c>
      <c r="B143" s="9" t="s">
        <v>43</v>
      </c>
      <c r="C143" s="9" t="s">
        <v>43</v>
      </c>
      <c r="D143" s="9" t="s">
        <v>118</v>
      </c>
      <c r="E143" s="9" t="s">
        <v>18</v>
      </c>
      <c r="F143" s="9" t="s">
        <v>454</v>
      </c>
      <c r="G143" s="9" t="s">
        <v>455</v>
      </c>
      <c r="H143" s="9" t="s">
        <v>61</v>
      </c>
      <c r="I143" s="9" t="s">
        <v>456</v>
      </c>
    </row>
    <row r="144" spans="1:9" ht="28.8" x14ac:dyDescent="0.3">
      <c r="A144" s="9" t="s">
        <v>15</v>
      </c>
      <c r="B144" s="9" t="s">
        <v>43</v>
      </c>
      <c r="C144" s="9" t="s">
        <v>43</v>
      </c>
      <c r="D144" s="9" t="s">
        <v>70</v>
      </c>
      <c r="E144" s="9" t="s">
        <v>18</v>
      </c>
      <c r="F144" s="9" t="s">
        <v>457</v>
      </c>
      <c r="G144" s="9" t="s">
        <v>458</v>
      </c>
      <c r="H144" s="9" t="s">
        <v>61</v>
      </c>
      <c r="I144" s="9" t="s">
        <v>459</v>
      </c>
    </row>
    <row r="145" spans="1:9" ht="28.8" x14ac:dyDescent="0.3">
      <c r="A145" s="9" t="s">
        <v>15</v>
      </c>
      <c r="B145" s="9" t="s">
        <v>43</v>
      </c>
      <c r="C145" s="9" t="s">
        <v>43</v>
      </c>
      <c r="D145" s="9" t="s">
        <v>76</v>
      </c>
      <c r="E145" s="9" t="s">
        <v>18</v>
      </c>
      <c r="F145" s="9" t="s">
        <v>460</v>
      </c>
      <c r="G145" s="9" t="s">
        <v>461</v>
      </c>
      <c r="H145" s="9" t="s">
        <v>61</v>
      </c>
      <c r="I145" s="9" t="s">
        <v>462</v>
      </c>
    </row>
    <row r="146" spans="1:9" ht="57.6" x14ac:dyDescent="0.3">
      <c r="A146" s="9" t="s">
        <v>15</v>
      </c>
      <c r="B146" s="9" t="s">
        <v>43</v>
      </c>
      <c r="C146" s="9" t="s">
        <v>43</v>
      </c>
      <c r="D146" s="9" t="s">
        <v>90</v>
      </c>
      <c r="E146" s="9" t="s">
        <v>18</v>
      </c>
      <c r="F146" s="9" t="s">
        <v>463</v>
      </c>
      <c r="G146" s="9" t="s">
        <v>464</v>
      </c>
      <c r="H146" s="9" t="s">
        <v>61</v>
      </c>
      <c r="I146" s="9" t="s">
        <v>465</v>
      </c>
    </row>
    <row r="147" spans="1:9" ht="57.6" x14ac:dyDescent="0.3">
      <c r="A147" s="9" t="s">
        <v>15</v>
      </c>
      <c r="B147" s="9" t="s">
        <v>43</v>
      </c>
      <c r="C147" s="9" t="s">
        <v>43</v>
      </c>
      <c r="D147" s="9" t="s">
        <v>122</v>
      </c>
      <c r="E147" s="9" t="s">
        <v>18</v>
      </c>
      <c r="F147" s="9" t="s">
        <v>466</v>
      </c>
      <c r="G147" s="9" t="s">
        <v>464</v>
      </c>
      <c r="H147" s="9" t="s">
        <v>61</v>
      </c>
      <c r="I147" s="9" t="s">
        <v>465</v>
      </c>
    </row>
    <row r="148" spans="1:9" ht="72" x14ac:dyDescent="0.3">
      <c r="A148" s="9" t="s">
        <v>15</v>
      </c>
      <c r="B148" s="9" t="s">
        <v>43</v>
      </c>
      <c r="C148" s="9" t="s">
        <v>43</v>
      </c>
      <c r="D148" s="9" t="s">
        <v>261</v>
      </c>
      <c r="E148" s="9" t="s">
        <v>18</v>
      </c>
      <c r="F148" s="9" t="s">
        <v>467</v>
      </c>
      <c r="G148" s="9" t="s">
        <v>464</v>
      </c>
      <c r="H148" s="9" t="s">
        <v>61</v>
      </c>
      <c r="I148" s="9" t="s">
        <v>468</v>
      </c>
    </row>
    <row r="149" spans="1:9" ht="57.6" x14ac:dyDescent="0.3">
      <c r="A149" s="9" t="s">
        <v>15</v>
      </c>
      <c r="B149" s="9" t="s">
        <v>43</v>
      </c>
      <c r="C149" s="9" t="s">
        <v>43</v>
      </c>
      <c r="D149" s="9" t="s">
        <v>268</v>
      </c>
      <c r="E149" s="9" t="s">
        <v>18</v>
      </c>
      <c r="F149" s="9" t="s">
        <v>469</v>
      </c>
      <c r="G149" s="9" t="s">
        <v>470</v>
      </c>
      <c r="H149" s="9" t="s">
        <v>61</v>
      </c>
      <c r="I149" s="9" t="s">
        <v>465</v>
      </c>
    </row>
    <row r="150" spans="1:9" ht="115.2" x14ac:dyDescent="0.3">
      <c r="A150" s="9" t="s">
        <v>15</v>
      </c>
      <c r="B150" s="9" t="s">
        <v>43</v>
      </c>
      <c r="C150" s="9" t="s">
        <v>43</v>
      </c>
      <c r="D150" s="9" t="s">
        <v>148</v>
      </c>
      <c r="E150" s="9" t="s">
        <v>18</v>
      </c>
      <c r="F150" s="9" t="s">
        <v>471</v>
      </c>
      <c r="G150" s="9" t="s">
        <v>472</v>
      </c>
      <c r="H150" s="9" t="s">
        <v>61</v>
      </c>
      <c r="I150" s="9" t="s">
        <v>473</v>
      </c>
    </row>
    <row r="151" spans="1:9" ht="144" x14ac:dyDescent="0.3">
      <c r="A151" s="9" t="s">
        <v>15</v>
      </c>
      <c r="B151" s="9" t="s">
        <v>43</v>
      </c>
      <c r="C151" s="9" t="s">
        <v>474</v>
      </c>
      <c r="D151" s="9" t="s">
        <v>187</v>
      </c>
      <c r="E151" s="9" t="s">
        <v>18</v>
      </c>
      <c r="F151" s="9" t="s">
        <v>475</v>
      </c>
      <c r="G151" s="9" t="s">
        <v>476</v>
      </c>
      <c r="H151" s="9" t="s">
        <v>61</v>
      </c>
      <c r="I151" s="9" t="s">
        <v>477</v>
      </c>
    </row>
    <row r="152" spans="1:9" ht="43.2" x14ac:dyDescent="0.3">
      <c r="A152" s="9" t="s">
        <v>15</v>
      </c>
      <c r="B152" s="9" t="s">
        <v>43</v>
      </c>
      <c r="C152" s="9" t="s">
        <v>478</v>
      </c>
      <c r="D152" s="9" t="s">
        <v>479</v>
      </c>
      <c r="E152" s="9" t="s">
        <v>18</v>
      </c>
      <c r="F152" s="9" t="s">
        <v>480</v>
      </c>
      <c r="G152" s="9" t="s">
        <v>481</v>
      </c>
      <c r="H152" s="9" t="s">
        <v>61</v>
      </c>
      <c r="I152" s="9" t="s">
        <v>482</v>
      </c>
    </row>
    <row r="153" spans="1:9" ht="43.2" x14ac:dyDescent="0.3">
      <c r="A153" s="9" t="s">
        <v>15</v>
      </c>
      <c r="B153" s="9" t="s">
        <v>43</v>
      </c>
      <c r="C153" s="9" t="s">
        <v>478</v>
      </c>
      <c r="D153" s="9" t="s">
        <v>155</v>
      </c>
      <c r="E153" s="9" t="s">
        <v>18</v>
      </c>
      <c r="F153" s="9" t="s">
        <v>483</v>
      </c>
      <c r="G153" s="9" t="s">
        <v>484</v>
      </c>
      <c r="H153" s="9" t="s">
        <v>61</v>
      </c>
      <c r="I153" s="9" t="s">
        <v>485</v>
      </c>
    </row>
    <row r="154" spans="1:9" ht="43.2" x14ac:dyDescent="0.3">
      <c r="A154" s="9" t="s">
        <v>15</v>
      </c>
      <c r="B154" s="9" t="s">
        <v>43</v>
      </c>
      <c r="C154" s="9" t="s">
        <v>478</v>
      </c>
      <c r="D154" s="9" t="s">
        <v>159</v>
      </c>
      <c r="E154" s="9" t="s">
        <v>18</v>
      </c>
      <c r="F154" s="9" t="s">
        <v>486</v>
      </c>
      <c r="G154" s="9" t="s">
        <v>487</v>
      </c>
      <c r="H154" s="9" t="s">
        <v>61</v>
      </c>
      <c r="I154" s="9" t="s">
        <v>488</v>
      </c>
    </row>
    <row r="155" spans="1:9" ht="43.2" x14ac:dyDescent="0.3">
      <c r="A155" s="9" t="s">
        <v>15</v>
      </c>
      <c r="B155" s="9" t="s">
        <v>44</v>
      </c>
      <c r="C155" s="9" t="s">
        <v>44</v>
      </c>
      <c r="D155" s="9" t="s">
        <v>199</v>
      </c>
      <c r="E155" s="9" t="s">
        <v>18</v>
      </c>
      <c r="F155" s="9" t="s">
        <v>489</v>
      </c>
      <c r="G155" s="9" t="s">
        <v>490</v>
      </c>
      <c r="H155" s="9" t="s">
        <v>61</v>
      </c>
      <c r="I155" s="9" t="s">
        <v>491</v>
      </c>
    </row>
    <row r="156" spans="1:9" ht="43.2" x14ac:dyDescent="0.3">
      <c r="A156" s="9" t="s">
        <v>15</v>
      </c>
      <c r="B156" s="9" t="s">
        <v>47</v>
      </c>
      <c r="C156" s="9" t="s">
        <v>492</v>
      </c>
      <c r="D156" s="9" t="s">
        <v>76</v>
      </c>
      <c r="E156" s="9" t="s">
        <v>18</v>
      </c>
      <c r="F156" s="9" t="s">
        <v>493</v>
      </c>
      <c r="G156" s="9" t="s">
        <v>494</v>
      </c>
      <c r="H156" s="9" t="s">
        <v>61</v>
      </c>
      <c r="I156" s="9" t="s">
        <v>495</v>
      </c>
    </row>
    <row r="157" spans="1:9" ht="144" x14ac:dyDescent="0.3">
      <c r="A157" s="9" t="s">
        <v>15</v>
      </c>
      <c r="B157" s="9" t="s">
        <v>48</v>
      </c>
      <c r="C157" s="9" t="s">
        <v>48</v>
      </c>
      <c r="D157" s="9" t="s">
        <v>199</v>
      </c>
      <c r="E157" s="9" t="s">
        <v>18</v>
      </c>
      <c r="F157" s="9" t="s">
        <v>496</v>
      </c>
      <c r="G157" s="9" t="s">
        <v>497</v>
      </c>
      <c r="H157" s="9" t="s">
        <v>61</v>
      </c>
      <c r="I157" s="9" t="s">
        <v>498</v>
      </c>
    </row>
    <row r="158" spans="1:9" ht="172.8" x14ac:dyDescent="0.3">
      <c r="A158" s="9" t="s">
        <v>15</v>
      </c>
      <c r="B158" s="9" t="s">
        <v>49</v>
      </c>
      <c r="C158" s="9" t="s">
        <v>49</v>
      </c>
      <c r="D158" s="9" t="s">
        <v>76</v>
      </c>
      <c r="E158" s="9" t="s">
        <v>18</v>
      </c>
      <c r="F158" s="9" t="s">
        <v>499</v>
      </c>
      <c r="G158" s="9" t="s">
        <v>500</v>
      </c>
      <c r="H158" s="9" t="s">
        <v>61</v>
      </c>
      <c r="I158" s="9" t="s">
        <v>501</v>
      </c>
    </row>
    <row r="159" spans="1:9" ht="144" x14ac:dyDescent="0.3">
      <c r="A159" s="9" t="s">
        <v>15</v>
      </c>
      <c r="B159" s="9" t="s">
        <v>49</v>
      </c>
      <c r="C159" s="9" t="s">
        <v>49</v>
      </c>
      <c r="D159" s="9" t="s">
        <v>58</v>
      </c>
      <c r="E159" s="9" t="s">
        <v>18</v>
      </c>
      <c r="F159" s="9" t="s">
        <v>502</v>
      </c>
      <c r="G159" s="9" t="s">
        <v>503</v>
      </c>
      <c r="H159" s="9" t="s">
        <v>61</v>
      </c>
      <c r="I159" s="9" t="s">
        <v>504</v>
      </c>
    </row>
    <row r="160" spans="1:9" ht="144" x14ac:dyDescent="0.3">
      <c r="A160" s="9" t="s">
        <v>15</v>
      </c>
      <c r="B160" s="9" t="s">
        <v>49</v>
      </c>
      <c r="C160" s="9" t="s">
        <v>49</v>
      </c>
      <c r="D160" s="9" t="s">
        <v>88</v>
      </c>
      <c r="E160" s="9" t="s">
        <v>18</v>
      </c>
      <c r="F160" s="9" t="s">
        <v>505</v>
      </c>
      <c r="G160" s="9" t="s">
        <v>506</v>
      </c>
      <c r="H160" s="9" t="s">
        <v>61</v>
      </c>
      <c r="I160" s="9" t="s">
        <v>507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pane ySplit="1" topLeftCell="A2" activePane="bottomLeft" state="frozen"/>
      <selection pane="bottomLeft" activeCell="E5" sqref="E5"/>
    </sheetView>
  </sheetViews>
  <sheetFormatPr defaultRowHeight="14.4" x14ac:dyDescent="0.3"/>
  <cols>
    <col min="1" max="1" width="16" customWidth="1"/>
    <col min="2" max="3" width="22" customWidth="1"/>
    <col min="4" max="4" width="12" customWidth="1"/>
    <col min="5" max="5" width="10" customWidth="1"/>
    <col min="6" max="6" width="40" customWidth="1"/>
    <col min="7" max="7" width="12" customWidth="1"/>
    <col min="8" max="8" width="30" customWidth="1"/>
  </cols>
  <sheetData>
    <row r="1" spans="1:8" ht="24" customHeight="1" x14ac:dyDescent="0.3">
      <c r="A1" s="1" t="s">
        <v>11</v>
      </c>
      <c r="B1" s="1" t="s">
        <v>21</v>
      </c>
      <c r="C1" s="1" t="s">
        <v>51</v>
      </c>
      <c r="D1" s="1" t="s">
        <v>52</v>
      </c>
      <c r="E1" s="1" t="s">
        <v>17</v>
      </c>
      <c r="F1" s="1" t="s">
        <v>53</v>
      </c>
      <c r="G1" s="1" t="s">
        <v>508</v>
      </c>
      <c r="H1" s="1" t="s">
        <v>56</v>
      </c>
    </row>
    <row r="2" spans="1:8" ht="57.6" x14ac:dyDescent="0.3">
      <c r="A2" s="9" t="s">
        <v>15</v>
      </c>
      <c r="B2" s="9" t="s">
        <v>43</v>
      </c>
      <c r="C2" s="9" t="s">
        <v>43</v>
      </c>
      <c r="D2" s="9" t="s">
        <v>73</v>
      </c>
      <c r="E2" s="9" t="s">
        <v>18</v>
      </c>
      <c r="F2" s="9" t="s">
        <v>509</v>
      </c>
      <c r="G2" s="9" t="s">
        <v>8</v>
      </c>
      <c r="H2" s="9" t="s">
        <v>465</v>
      </c>
    </row>
    <row r="3" spans="1:8" ht="57.6" x14ac:dyDescent="0.3">
      <c r="A3" s="9" t="s">
        <v>15</v>
      </c>
      <c r="B3" s="9" t="s">
        <v>43</v>
      </c>
      <c r="C3" s="9" t="s">
        <v>43</v>
      </c>
      <c r="D3" s="9" t="s">
        <v>58</v>
      </c>
      <c r="E3" s="9" t="s">
        <v>18</v>
      </c>
      <c r="F3" s="9" t="s">
        <v>510</v>
      </c>
      <c r="G3" s="9" t="s">
        <v>8</v>
      </c>
      <c r="H3" s="9" t="s">
        <v>465</v>
      </c>
    </row>
    <row r="4" spans="1:8" ht="57.6" x14ac:dyDescent="0.3">
      <c r="A4" s="9" t="s">
        <v>15</v>
      </c>
      <c r="B4" s="9" t="s">
        <v>43</v>
      </c>
      <c r="C4" s="9" t="s">
        <v>43</v>
      </c>
      <c r="D4" s="9" t="s">
        <v>123</v>
      </c>
      <c r="E4" s="9" t="s">
        <v>18</v>
      </c>
      <c r="F4" s="9" t="s">
        <v>511</v>
      </c>
      <c r="G4" s="9" t="s">
        <v>8</v>
      </c>
      <c r="H4" s="9" t="s">
        <v>465</v>
      </c>
    </row>
    <row r="5" spans="1:8" ht="72" x14ac:dyDescent="0.3">
      <c r="A5" s="9" t="s">
        <v>15</v>
      </c>
      <c r="B5" s="9" t="s">
        <v>43</v>
      </c>
      <c r="C5" s="9" t="s">
        <v>43</v>
      </c>
      <c r="D5" s="9" t="s">
        <v>512</v>
      </c>
      <c r="E5" s="9" t="s">
        <v>18</v>
      </c>
      <c r="F5" s="9" t="s">
        <v>513</v>
      </c>
      <c r="G5" s="9" t="s">
        <v>8</v>
      </c>
      <c r="H5" s="9" t="s">
        <v>514</v>
      </c>
    </row>
    <row r="6" spans="1:8" ht="43.2" x14ac:dyDescent="0.3">
      <c r="A6" s="9" t="s">
        <v>15</v>
      </c>
      <c r="B6" s="9" t="s">
        <v>47</v>
      </c>
      <c r="C6" s="9" t="s">
        <v>492</v>
      </c>
      <c r="D6" s="9" t="s">
        <v>58</v>
      </c>
      <c r="E6" s="9" t="s">
        <v>18</v>
      </c>
      <c r="F6" s="9" t="s">
        <v>515</v>
      </c>
      <c r="G6" s="9" t="s">
        <v>8</v>
      </c>
      <c r="H6" s="9" t="s">
        <v>516</v>
      </c>
    </row>
    <row r="7" spans="1:8" ht="43.2" x14ac:dyDescent="0.3">
      <c r="A7" s="9" t="s">
        <v>15</v>
      </c>
      <c r="B7" s="9" t="s">
        <v>47</v>
      </c>
      <c r="C7" s="9" t="s">
        <v>492</v>
      </c>
      <c r="D7" s="9" t="s">
        <v>88</v>
      </c>
      <c r="E7" s="9" t="s">
        <v>18</v>
      </c>
      <c r="F7" s="9" t="s">
        <v>517</v>
      </c>
      <c r="G7" s="9" t="s">
        <v>8</v>
      </c>
      <c r="H7" s="9"/>
    </row>
    <row r="8" spans="1:8" ht="43.2" x14ac:dyDescent="0.3">
      <c r="A8" s="9" t="s">
        <v>15</v>
      </c>
      <c r="B8" s="9" t="s">
        <v>47</v>
      </c>
      <c r="C8" s="9" t="s">
        <v>492</v>
      </c>
      <c r="D8" s="9" t="s">
        <v>90</v>
      </c>
      <c r="E8" s="9" t="s">
        <v>18</v>
      </c>
      <c r="F8" s="9" t="s">
        <v>518</v>
      </c>
      <c r="G8" s="9" t="s">
        <v>8</v>
      </c>
      <c r="H8" s="9"/>
    </row>
    <row r="9" spans="1:8" ht="43.2" x14ac:dyDescent="0.3">
      <c r="A9" s="9" t="s">
        <v>15</v>
      </c>
      <c r="B9" s="9" t="s">
        <v>47</v>
      </c>
      <c r="C9" s="9" t="s">
        <v>492</v>
      </c>
      <c r="D9" s="9" t="s">
        <v>122</v>
      </c>
      <c r="E9" s="9" t="s">
        <v>18</v>
      </c>
      <c r="F9" s="9" t="s">
        <v>519</v>
      </c>
      <c r="G9" s="9" t="s">
        <v>8</v>
      </c>
      <c r="H9" s="9"/>
    </row>
    <row r="10" spans="1:8" ht="72" x14ac:dyDescent="0.3">
      <c r="A10" s="9" t="s">
        <v>15</v>
      </c>
      <c r="B10" s="9" t="s">
        <v>41</v>
      </c>
      <c r="C10" s="9" t="s">
        <v>41</v>
      </c>
      <c r="D10" s="9" t="s">
        <v>93</v>
      </c>
      <c r="E10" s="9" t="s">
        <v>18</v>
      </c>
      <c r="F10" s="9" t="s">
        <v>520</v>
      </c>
      <c r="G10" s="9" t="s">
        <v>8</v>
      </c>
      <c r="H10" s="9" t="s">
        <v>521</v>
      </c>
    </row>
    <row r="11" spans="1:8" ht="72" x14ac:dyDescent="0.3">
      <c r="A11" s="9" t="s">
        <v>15</v>
      </c>
      <c r="B11" s="9" t="s">
        <v>41</v>
      </c>
      <c r="C11" s="9" t="s">
        <v>41</v>
      </c>
      <c r="D11" s="9" t="s">
        <v>199</v>
      </c>
      <c r="E11" s="9" t="s">
        <v>18</v>
      </c>
      <c r="F11" s="9" t="s">
        <v>522</v>
      </c>
      <c r="G11" s="9" t="s">
        <v>8</v>
      </c>
      <c r="H11" s="9" t="s">
        <v>521</v>
      </c>
    </row>
    <row r="12" spans="1:8" ht="72" x14ac:dyDescent="0.3">
      <c r="A12" s="9" t="s">
        <v>15</v>
      </c>
      <c r="B12" s="9" t="s">
        <v>41</v>
      </c>
      <c r="C12" s="9" t="s">
        <v>41</v>
      </c>
      <c r="D12" s="9" t="s">
        <v>96</v>
      </c>
      <c r="E12" s="9" t="s">
        <v>18</v>
      </c>
      <c r="F12" s="9" t="s">
        <v>523</v>
      </c>
      <c r="G12" s="9" t="s">
        <v>8</v>
      </c>
      <c r="H12" s="9" t="s">
        <v>521</v>
      </c>
    </row>
    <row r="13" spans="1:8" ht="72" x14ac:dyDescent="0.3">
      <c r="A13" s="9" t="s">
        <v>15</v>
      </c>
      <c r="B13" s="9" t="s">
        <v>41</v>
      </c>
      <c r="C13" s="9" t="s">
        <v>41</v>
      </c>
      <c r="D13" s="9" t="s">
        <v>113</v>
      </c>
      <c r="E13" s="9" t="s">
        <v>18</v>
      </c>
      <c r="F13" s="9" t="s">
        <v>416</v>
      </c>
      <c r="G13" s="9" t="s">
        <v>8</v>
      </c>
      <c r="H13" s="9" t="s">
        <v>521</v>
      </c>
    </row>
    <row r="14" spans="1:8" ht="72" x14ac:dyDescent="0.3">
      <c r="A14" s="9" t="s">
        <v>15</v>
      </c>
      <c r="B14" s="9" t="s">
        <v>41</v>
      </c>
      <c r="C14" s="9" t="s">
        <v>41</v>
      </c>
      <c r="D14" s="9" t="s">
        <v>99</v>
      </c>
      <c r="E14" s="9" t="s">
        <v>18</v>
      </c>
      <c r="F14" s="9" t="s">
        <v>524</v>
      </c>
      <c r="G14" s="9" t="s">
        <v>8</v>
      </c>
      <c r="H14" s="9" t="s">
        <v>521</v>
      </c>
    </row>
    <row r="15" spans="1:8" ht="72" x14ac:dyDescent="0.3">
      <c r="A15" s="9" t="s">
        <v>15</v>
      </c>
      <c r="B15" s="9" t="s">
        <v>41</v>
      </c>
      <c r="C15" s="9" t="s">
        <v>41</v>
      </c>
      <c r="D15" s="9" t="s">
        <v>80</v>
      </c>
      <c r="E15" s="9" t="s">
        <v>18</v>
      </c>
      <c r="F15" s="9" t="s">
        <v>525</v>
      </c>
      <c r="G15" s="9" t="s">
        <v>8</v>
      </c>
      <c r="H15" s="9" t="s">
        <v>521</v>
      </c>
    </row>
    <row r="16" spans="1:8" ht="72" x14ac:dyDescent="0.3">
      <c r="A16" s="9" t="s">
        <v>15</v>
      </c>
      <c r="B16" s="9" t="s">
        <v>41</v>
      </c>
      <c r="C16" s="9" t="s">
        <v>41</v>
      </c>
      <c r="D16" s="9" t="s">
        <v>118</v>
      </c>
      <c r="E16" s="9" t="s">
        <v>18</v>
      </c>
      <c r="F16" s="9" t="s">
        <v>526</v>
      </c>
      <c r="G16" s="9" t="s">
        <v>8</v>
      </c>
      <c r="H16" s="9" t="s">
        <v>521</v>
      </c>
    </row>
    <row r="17" spans="1:8" ht="172.8" x14ac:dyDescent="0.3">
      <c r="A17" s="9" t="s">
        <v>15</v>
      </c>
      <c r="B17" s="9" t="s">
        <v>49</v>
      </c>
      <c r="C17" s="9" t="s">
        <v>49</v>
      </c>
      <c r="D17" s="9" t="s">
        <v>96</v>
      </c>
      <c r="E17" s="9" t="s">
        <v>18</v>
      </c>
      <c r="F17" s="9" t="s">
        <v>527</v>
      </c>
      <c r="G17" s="9" t="s">
        <v>7</v>
      </c>
      <c r="H17" s="9" t="s">
        <v>528</v>
      </c>
    </row>
    <row r="18" spans="1:8" ht="244.8" x14ac:dyDescent="0.3">
      <c r="A18" s="9" t="s">
        <v>15</v>
      </c>
      <c r="B18" s="9" t="s">
        <v>49</v>
      </c>
      <c r="C18" s="9" t="s">
        <v>49</v>
      </c>
      <c r="D18" s="9" t="s">
        <v>113</v>
      </c>
      <c r="E18" s="9" t="s">
        <v>18</v>
      </c>
      <c r="F18" s="9" t="s">
        <v>529</v>
      </c>
      <c r="G18" s="9" t="s">
        <v>7</v>
      </c>
      <c r="H18" s="9"/>
    </row>
    <row r="19" spans="1:8" ht="72" x14ac:dyDescent="0.3">
      <c r="A19" s="9" t="s">
        <v>15</v>
      </c>
      <c r="B19" s="9" t="s">
        <v>49</v>
      </c>
      <c r="C19" s="9" t="s">
        <v>49</v>
      </c>
      <c r="D19" s="9" t="s">
        <v>80</v>
      </c>
      <c r="E19" s="9" t="s">
        <v>18</v>
      </c>
      <c r="F19" s="9" t="s">
        <v>530</v>
      </c>
      <c r="G19" s="9" t="s">
        <v>7</v>
      </c>
      <c r="H19" s="9"/>
    </row>
    <row r="20" spans="1:8" ht="86.4" x14ac:dyDescent="0.3">
      <c r="A20" s="9" t="s">
        <v>15</v>
      </c>
      <c r="B20" s="9" t="s">
        <v>49</v>
      </c>
      <c r="C20" s="9" t="s">
        <v>49</v>
      </c>
      <c r="D20" s="9" t="s">
        <v>67</v>
      </c>
      <c r="E20" s="9" t="s">
        <v>18</v>
      </c>
      <c r="F20" s="9" t="s">
        <v>531</v>
      </c>
      <c r="G20" s="9" t="s">
        <v>7</v>
      </c>
      <c r="H20" s="9" t="s">
        <v>532</v>
      </c>
    </row>
    <row r="21" spans="1:8" ht="129.6" x14ac:dyDescent="0.3">
      <c r="A21" s="9" t="s">
        <v>15</v>
      </c>
      <c r="B21" s="9" t="s">
        <v>49</v>
      </c>
      <c r="C21" s="9" t="s">
        <v>49</v>
      </c>
      <c r="D21" s="9" t="s">
        <v>90</v>
      </c>
      <c r="E21" s="9" t="s">
        <v>18</v>
      </c>
      <c r="F21" s="9" t="s">
        <v>533</v>
      </c>
      <c r="G21" s="9" t="s">
        <v>7</v>
      </c>
      <c r="H21"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Module-wise Metrics</vt:lpstr>
      <vt:lpstr>Defect Log (Failures)</vt:lpstr>
      <vt:lpstr>Blocked-Pending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Taimoor Ajmal</cp:lastModifiedBy>
  <dcterms:created xsi:type="dcterms:W3CDTF">2026-07-23T15:22:45Z</dcterms:created>
  <dcterms:modified xsi:type="dcterms:W3CDTF">2026-07-25T13:45:10Z</dcterms:modified>
</cp:coreProperties>
</file>